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nypurba/Library/CloudStorage/GoogleDrive-ronypurba@gmail.com/My Drive/projects/fasih_scrapping/outputs/"/>
    </mc:Choice>
  </mc:AlternateContent>
  <xr:revisionPtr revIDLastSave="0" documentId="13_ncr:1_{DA569889-335E-F64B-B57B-2B9709BFCE97}" xr6:coauthVersionLast="47" xr6:coauthVersionMax="47" xr10:uidLastSave="{00000000-0000-0000-0000-000000000000}"/>
  <bookViews>
    <workbookView xWindow="0" yWindow="780" windowWidth="34200" windowHeight="19860" xr2:uid="{00000000-000D-0000-FFFF-FFFF00000000}"/>
  </bookViews>
  <sheets>
    <sheet name="Sheet1" sheetId="1" r:id="rId1"/>
    <sheet name="imk tahunan" sheetId="4" r:id="rId2"/>
    <sheet name="Sheet2" sheetId="2" state="hidden" r:id="rId3"/>
  </sheets>
  <externalReferences>
    <externalReference r:id="rId4"/>
  </externalReferences>
  <definedNames>
    <definedName name="_xlnm._FilterDatabase" localSheetId="1" hidden="1">'imk tahunan'!$A$1:$G$1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F10" i="4"/>
  <c r="E20" i="4"/>
  <c r="F20" i="4"/>
  <c r="E13" i="4"/>
  <c r="F13" i="4"/>
  <c r="E17" i="4"/>
  <c r="F17" i="4"/>
  <c r="E11" i="4"/>
  <c r="F11" i="4"/>
  <c r="E8" i="4"/>
  <c r="F8" i="4"/>
  <c r="E14" i="4"/>
  <c r="F14" i="4"/>
  <c r="E4" i="4"/>
  <c r="F4" i="4"/>
  <c r="E21" i="4"/>
  <c r="F21" i="4"/>
  <c r="E9" i="4"/>
  <c r="F9" i="4"/>
  <c r="E6" i="4"/>
  <c r="F6" i="4"/>
  <c r="E19" i="4"/>
  <c r="F19" i="4"/>
  <c r="E7" i="4"/>
  <c r="F7" i="4"/>
  <c r="E22" i="4"/>
  <c r="F22" i="4"/>
  <c r="E5" i="4"/>
  <c r="F5" i="4"/>
  <c r="E23" i="4"/>
  <c r="F23" i="4"/>
  <c r="E15" i="4"/>
  <c r="F15" i="4"/>
  <c r="E18" i="4"/>
  <c r="F18" i="4"/>
  <c r="E24" i="4"/>
  <c r="F24" i="4"/>
  <c r="E25" i="4"/>
  <c r="F25" i="4"/>
  <c r="E26" i="4"/>
  <c r="F26" i="4"/>
  <c r="E3" i="4"/>
  <c r="F3" i="4"/>
  <c r="E27" i="4"/>
  <c r="F27" i="4"/>
  <c r="E28" i="4"/>
  <c r="F28" i="4"/>
  <c r="E12" i="4"/>
  <c r="F12" i="4"/>
  <c r="E29" i="4"/>
  <c r="F29" i="4"/>
  <c r="E2" i="4"/>
  <c r="F2" i="4"/>
  <c r="C30" i="4"/>
  <c r="E30" i="4"/>
  <c r="F30" i="4"/>
  <c r="C31" i="4"/>
  <c r="E31" i="4"/>
  <c r="F31" i="4"/>
  <c r="C32" i="4"/>
  <c r="E32" i="4"/>
  <c r="F32" i="4"/>
  <c r="C33" i="4"/>
  <c r="E33" i="4"/>
  <c r="F33" i="4"/>
  <c r="E16" i="4"/>
  <c r="F16" i="4"/>
  <c r="E30" i="1"/>
  <c r="E31" i="1"/>
  <c r="E32" i="1"/>
  <c r="E33" i="1"/>
  <c r="E34" i="1"/>
  <c r="E35" i="1"/>
  <c r="E36" i="1"/>
  <c r="E37" i="1"/>
  <c r="E39" i="1"/>
  <c r="E40" i="1"/>
  <c r="E41" i="1"/>
  <c r="E42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29" i="1"/>
  <c r="AS25" i="1"/>
  <c r="AR25" i="1"/>
  <c r="AQ25" i="1"/>
  <c r="AH25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S9" i="1"/>
  <c r="AR9" i="1"/>
  <c r="AQ9" i="1"/>
  <c r="AP9" i="1"/>
  <c r="AO9" i="1"/>
  <c r="AN9" i="1"/>
  <c r="AM9" i="1"/>
  <c r="AL9" i="1"/>
  <c r="AK9" i="1"/>
  <c r="AJ9" i="1"/>
  <c r="AI9" i="1"/>
  <c r="AH9" i="1"/>
  <c r="AS8" i="1"/>
  <c r="AR8" i="1"/>
  <c r="AQ8" i="1"/>
  <c r="AP8" i="1"/>
  <c r="AO8" i="1"/>
  <c r="AN8" i="1"/>
  <c r="AM8" i="1"/>
  <c r="AL8" i="1"/>
  <c r="AK8" i="1"/>
  <c r="AJ8" i="1"/>
  <c r="AI8" i="1"/>
  <c r="AH8" i="1"/>
  <c r="AS7" i="1"/>
  <c r="AR7" i="1"/>
  <c r="AQ7" i="1"/>
  <c r="AP7" i="1"/>
  <c r="AO7" i="1"/>
  <c r="AN7" i="1"/>
  <c r="AM7" i="1"/>
  <c r="AL7" i="1"/>
  <c r="AK7" i="1"/>
  <c r="AJ7" i="1"/>
  <c r="AI7" i="1"/>
  <c r="AH7" i="1"/>
  <c r="AS6" i="1"/>
  <c r="AR6" i="1"/>
  <c r="AQ6" i="1"/>
  <c r="AP6" i="1"/>
  <c r="AO6" i="1"/>
  <c r="AN6" i="1"/>
  <c r="AM6" i="1"/>
  <c r="AL6" i="1"/>
  <c r="AK6" i="1"/>
  <c r="AJ6" i="1"/>
  <c r="AI6" i="1"/>
  <c r="AH6" i="1"/>
  <c r="AS5" i="1"/>
  <c r="AR5" i="1"/>
  <c r="AQ5" i="1"/>
  <c r="AP5" i="1"/>
  <c r="AO5" i="1"/>
  <c r="AN5" i="1"/>
  <c r="AM5" i="1"/>
  <c r="AL5" i="1"/>
  <c r="AK5" i="1"/>
  <c r="AJ5" i="1"/>
  <c r="AI5" i="1"/>
  <c r="AH5" i="1"/>
  <c r="AS4" i="1"/>
  <c r="AR4" i="1"/>
  <c r="AQ4" i="1"/>
  <c r="AP4" i="1"/>
  <c r="AO4" i="1"/>
  <c r="AN4" i="1"/>
  <c r="AM4" i="1"/>
  <c r="AL4" i="1"/>
  <c r="AK4" i="1"/>
  <c r="AJ4" i="1"/>
  <c r="AI4" i="1"/>
  <c r="AH4" i="1"/>
  <c r="AS3" i="1"/>
  <c r="AR3" i="1"/>
  <c r="AQ3" i="1"/>
  <c r="AP3" i="1"/>
  <c r="AO3" i="1"/>
  <c r="AN3" i="1"/>
  <c r="AM3" i="1"/>
  <c r="AL3" i="1"/>
  <c r="AK3" i="1"/>
  <c r="AJ3" i="1"/>
  <c r="AI3" i="1"/>
  <c r="AH3" i="1"/>
  <c r="AS2" i="1"/>
  <c r="AR2" i="1"/>
  <c r="AQ2" i="1"/>
  <c r="AP2" i="1"/>
  <c r="AO2" i="1"/>
  <c r="AN2" i="1"/>
  <c r="AM2" i="1"/>
  <c r="AL2" i="1"/>
  <c r="AK2" i="1"/>
  <c r="AJ2" i="1"/>
  <c r="AI2" i="1"/>
  <c r="AH2" i="1"/>
  <c r="AS1" i="1"/>
  <c r="AR1" i="1"/>
  <c r="AQ1" i="1"/>
  <c r="AM1" i="1"/>
  <c r="AI1" i="1"/>
  <c r="AH1" i="1"/>
  <c r="G1" i="1"/>
  <c r="H1" i="1"/>
  <c r="I1" i="1"/>
  <c r="J1" i="1"/>
  <c r="K1" i="1"/>
  <c r="O1" i="1"/>
  <c r="S1" i="1"/>
  <c r="W1" i="1"/>
  <c r="X1" i="1"/>
  <c r="Y1" i="1"/>
  <c r="Z1" i="1"/>
  <c r="AA1" i="1"/>
  <c r="AB1" i="1"/>
  <c r="AC1" i="1"/>
  <c r="AD1" i="1"/>
  <c r="AE1" i="1"/>
  <c r="AF1" i="1"/>
  <c r="AG1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A25" i="1"/>
  <c r="AB25" i="1"/>
  <c r="AC25" i="1"/>
  <c r="AD25" i="1"/>
  <c r="AE25" i="1"/>
  <c r="AF25" i="1"/>
  <c r="AG2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" i="1"/>
  <c r="N29" i="1" l="1"/>
  <c r="AP59" i="1"/>
  <c r="I28" i="1"/>
  <c r="Q28" i="1"/>
  <c r="Y28" i="1"/>
  <c r="AG28" i="1"/>
  <c r="V29" i="1"/>
  <c r="AD29" i="1"/>
  <c r="AL29" i="1"/>
  <c r="J30" i="1"/>
  <c r="R30" i="1"/>
  <c r="Z30" i="1"/>
  <c r="AH30" i="1"/>
  <c r="AP30" i="1"/>
  <c r="N31" i="1"/>
  <c r="V31" i="1"/>
  <c r="AD31" i="1"/>
  <c r="AL31" i="1"/>
  <c r="J32" i="1"/>
  <c r="R32" i="1"/>
  <c r="Z32" i="1"/>
  <c r="AH32" i="1"/>
  <c r="AP32" i="1"/>
  <c r="N33" i="1"/>
  <c r="V33" i="1"/>
  <c r="AD33" i="1"/>
  <c r="AM33" i="1"/>
  <c r="X34" i="1"/>
  <c r="AL34" i="1"/>
  <c r="AA35" i="1"/>
  <c r="AO35" i="1"/>
  <c r="P36" i="1"/>
  <c r="AD36" i="1"/>
  <c r="AO36" i="1"/>
  <c r="S37" i="1"/>
  <c r="AG37" i="1"/>
  <c r="H38" i="1"/>
  <c r="V38" i="1"/>
  <c r="AG38" i="1"/>
  <c r="K39" i="1"/>
  <c r="M39" i="1" s="1"/>
  <c r="Z39" i="1"/>
  <c r="AP39" i="1"/>
  <c r="V40" i="1"/>
  <c r="AL40" i="1"/>
  <c r="R41" i="1"/>
  <c r="AH41" i="1"/>
  <c r="N42" i="1"/>
  <c r="AF42" i="1"/>
  <c r="O43" i="1"/>
  <c r="AH43" i="1"/>
  <c r="S44" i="1"/>
  <c r="AN44" i="1"/>
  <c r="AH45" i="1"/>
  <c r="AD46" i="1"/>
  <c r="Z47" i="1"/>
  <c r="V48" i="1"/>
  <c r="R49" i="1"/>
  <c r="N50" i="1"/>
  <c r="J51" i="1"/>
  <c r="AP51" i="1"/>
  <c r="AL52" i="1"/>
  <c r="AH53" i="1"/>
  <c r="AD54" i="1"/>
  <c r="Z55" i="1"/>
  <c r="V56" i="1"/>
  <c r="R57" i="1"/>
  <c r="N58" i="1"/>
  <c r="W59" i="1"/>
  <c r="J28" i="1"/>
  <c r="Z28" i="1"/>
  <c r="G29" i="1"/>
  <c r="I29" i="1" s="1"/>
  <c r="O29" i="1"/>
  <c r="W29" i="1"/>
  <c r="AE29" i="1"/>
  <c r="AM29" i="1"/>
  <c r="K30" i="1"/>
  <c r="M30" i="1" s="1"/>
  <c r="S30" i="1"/>
  <c r="AA30" i="1"/>
  <c r="AI30" i="1"/>
  <c r="G31" i="1"/>
  <c r="I31" i="1" s="1"/>
  <c r="O31" i="1"/>
  <c r="W31" i="1"/>
  <c r="AE31" i="1"/>
  <c r="AM31" i="1"/>
  <c r="K32" i="1"/>
  <c r="M32" i="1" s="1"/>
  <c r="S32" i="1"/>
  <c r="AA32" i="1"/>
  <c r="AI32" i="1"/>
  <c r="G33" i="1"/>
  <c r="I33" i="1" s="1"/>
  <c r="O33" i="1"/>
  <c r="W33" i="1"/>
  <c r="AE33" i="1"/>
  <c r="AO33" i="1"/>
  <c r="N34" i="1"/>
  <c r="Y34" i="1"/>
  <c r="AM34" i="1"/>
  <c r="Q35" i="1"/>
  <c r="AB35" i="1"/>
  <c r="AP35" i="1"/>
  <c r="Q36" i="1"/>
  <c r="AE36" i="1"/>
  <c r="T37" i="1"/>
  <c r="AH37" i="1"/>
  <c r="W38" i="1"/>
  <c r="AK38" i="1"/>
  <c r="L39" i="1"/>
  <c r="AA39" i="1"/>
  <c r="G40" i="1"/>
  <c r="I40" i="1" s="1"/>
  <c r="W40" i="1"/>
  <c r="AM40" i="1"/>
  <c r="S41" i="1"/>
  <c r="AI41" i="1"/>
  <c r="O42" i="1"/>
  <c r="AH42" i="1"/>
  <c r="P43" i="1"/>
  <c r="AI43" i="1"/>
  <c r="U44" i="1"/>
  <c r="AP44" i="1"/>
  <c r="AJ45" i="1"/>
  <c r="AF46" i="1"/>
  <c r="AB47" i="1"/>
  <c r="X48" i="1"/>
  <c r="T49" i="1"/>
  <c r="P50" i="1"/>
  <c r="L51" i="1"/>
  <c r="H52" i="1"/>
  <c r="AN52" i="1"/>
  <c r="AJ53" i="1"/>
  <c r="AF54" i="1"/>
  <c r="AB55" i="1"/>
  <c r="X56" i="1"/>
  <c r="T57" i="1"/>
  <c r="P58" i="1"/>
  <c r="Z59" i="1"/>
  <c r="K28" i="1"/>
  <c r="S28" i="1"/>
  <c r="AA28" i="1"/>
  <c r="H29" i="1"/>
  <c r="P29" i="1"/>
  <c r="X29" i="1"/>
  <c r="AF29" i="1"/>
  <c r="AN29" i="1"/>
  <c r="L30" i="1"/>
  <c r="T30" i="1"/>
  <c r="AB30" i="1"/>
  <c r="AJ30" i="1"/>
  <c r="H31" i="1"/>
  <c r="P31" i="1"/>
  <c r="X31" i="1"/>
  <c r="AF31" i="1"/>
  <c r="AN31" i="1"/>
  <c r="L32" i="1"/>
  <c r="T32" i="1"/>
  <c r="AB32" i="1"/>
  <c r="AJ32" i="1"/>
  <c r="H33" i="1"/>
  <c r="P33" i="1"/>
  <c r="X33" i="1"/>
  <c r="AG33" i="1"/>
  <c r="AP33" i="1"/>
  <c r="O34" i="1"/>
  <c r="AC34" i="1"/>
  <c r="AN34" i="1"/>
  <c r="R35" i="1"/>
  <c r="AC35" i="1"/>
  <c r="G36" i="1"/>
  <c r="I36" i="1" s="1"/>
  <c r="U36" i="1"/>
  <c r="AF36" i="1"/>
  <c r="J37" i="1"/>
  <c r="U37" i="1"/>
  <c r="AI37" i="1"/>
  <c r="X38" i="1"/>
  <c r="AL38" i="1"/>
  <c r="AC39" i="1"/>
  <c r="Y40" i="1"/>
  <c r="AO40" i="1"/>
  <c r="U41" i="1"/>
  <c r="AK41" i="1"/>
  <c r="R42" i="1"/>
  <c r="AJ42" i="1"/>
  <c r="AL43" i="1"/>
  <c r="W44" i="1"/>
  <c r="AM45" i="1"/>
  <c r="AI46" i="1"/>
  <c r="AE47" i="1"/>
  <c r="AA48" i="1"/>
  <c r="W49" i="1"/>
  <c r="S50" i="1"/>
  <c r="O51" i="1"/>
  <c r="K52" i="1"/>
  <c r="M52" i="1" s="1"/>
  <c r="G53" i="1"/>
  <c r="I53" i="1" s="1"/>
  <c r="AM53" i="1"/>
  <c r="AI54" i="1"/>
  <c r="AE55" i="1"/>
  <c r="AA56" i="1"/>
  <c r="W57" i="1"/>
  <c r="AA58" i="1"/>
  <c r="AB59" i="1"/>
  <c r="L28" i="1"/>
  <c r="T28" i="1"/>
  <c r="AB28" i="1"/>
  <c r="Q29" i="1"/>
  <c r="Y29" i="1"/>
  <c r="AG29" i="1"/>
  <c r="AO29" i="1"/>
  <c r="U30" i="1"/>
  <c r="AC30" i="1"/>
  <c r="AK30" i="1"/>
  <c r="Q31" i="1"/>
  <c r="Y31" i="1"/>
  <c r="AG31" i="1"/>
  <c r="AO31" i="1"/>
  <c r="U32" i="1"/>
  <c r="AC32" i="1"/>
  <c r="AK32" i="1"/>
  <c r="Q33" i="1"/>
  <c r="Y33" i="1"/>
  <c r="AH33" i="1"/>
  <c r="G34" i="1"/>
  <c r="I34" i="1" s="1"/>
  <c r="P34" i="1"/>
  <c r="AD34" i="1"/>
  <c r="AO34" i="1"/>
  <c r="S35" i="1"/>
  <c r="AG35" i="1"/>
  <c r="H36" i="1"/>
  <c r="V36" i="1"/>
  <c r="AG36" i="1"/>
  <c r="K37" i="1"/>
  <c r="M37" i="1" s="1"/>
  <c r="Y37" i="1"/>
  <c r="AJ37" i="1"/>
  <c r="N38" i="1"/>
  <c r="Y38" i="1"/>
  <c r="AM38" i="1"/>
  <c r="Q39" i="1"/>
  <c r="AG39" i="1"/>
  <c r="AC40" i="1"/>
  <c r="Y41" i="1"/>
  <c r="AO41" i="1"/>
  <c r="V42" i="1"/>
  <c r="AN42" i="1"/>
  <c r="W43" i="1"/>
  <c r="G44" i="1"/>
  <c r="I44" i="1" s="1"/>
  <c r="AC44" i="1"/>
  <c r="O45" i="1"/>
  <c r="K46" i="1"/>
  <c r="M46" i="1" s="1"/>
  <c r="G47" i="1"/>
  <c r="I47" i="1" s="1"/>
  <c r="AM47" i="1"/>
  <c r="AI48" i="1"/>
  <c r="AE49" i="1"/>
  <c r="AA50" i="1"/>
  <c r="W51" i="1"/>
  <c r="S52" i="1"/>
  <c r="O53" i="1"/>
  <c r="K54" i="1"/>
  <c r="M54" i="1" s="1"/>
  <c r="G55" i="1"/>
  <c r="I55" i="1" s="1"/>
  <c r="AM55" i="1"/>
  <c r="AI56" i="1"/>
  <c r="AE57" i="1"/>
  <c r="AD58" i="1"/>
  <c r="AM59" i="1"/>
  <c r="M28" i="1"/>
  <c r="U28" i="1"/>
  <c r="AC28" i="1"/>
  <c r="J29" i="1"/>
  <c r="R29" i="1"/>
  <c r="Z29" i="1"/>
  <c r="AH29" i="1"/>
  <c r="AP29" i="1"/>
  <c r="N30" i="1"/>
  <c r="V30" i="1"/>
  <c r="AD30" i="1"/>
  <c r="AL30" i="1"/>
  <c r="J31" i="1"/>
  <c r="R31" i="1"/>
  <c r="Z31" i="1"/>
  <c r="AH31" i="1"/>
  <c r="AP31" i="1"/>
  <c r="N32" i="1"/>
  <c r="V32" i="1"/>
  <c r="AD32" i="1"/>
  <c r="AL32" i="1"/>
  <c r="J33" i="1"/>
  <c r="R33" i="1"/>
  <c r="Z33" i="1"/>
  <c r="AI33" i="1"/>
  <c r="H34" i="1"/>
  <c r="Q34" i="1"/>
  <c r="AE34" i="1"/>
  <c r="T35" i="1"/>
  <c r="AH35" i="1"/>
  <c r="W36" i="1"/>
  <c r="AK36" i="1"/>
  <c r="L37" i="1"/>
  <c r="Z37" i="1"/>
  <c r="AK37" i="1"/>
  <c r="O38" i="1"/>
  <c r="AC38" i="1"/>
  <c r="AN38" i="1"/>
  <c r="R39" i="1"/>
  <c r="AH39" i="1"/>
  <c r="N40" i="1"/>
  <c r="AD40" i="1"/>
  <c r="J41" i="1"/>
  <c r="Z41" i="1"/>
  <c r="AP41" i="1"/>
  <c r="W42" i="1"/>
  <c r="AP42" i="1"/>
  <c r="X43" i="1"/>
  <c r="H44" i="1"/>
  <c r="AD44" i="1"/>
  <c r="R45" i="1"/>
  <c r="N46" i="1"/>
  <c r="J47" i="1"/>
  <c r="AP47" i="1"/>
  <c r="AL48" i="1"/>
  <c r="AH49" i="1"/>
  <c r="AD50" i="1"/>
  <c r="Z51" i="1"/>
  <c r="V52" i="1"/>
  <c r="R53" i="1"/>
  <c r="N54" i="1"/>
  <c r="J55" i="1"/>
  <c r="AP55" i="1"/>
  <c r="AL56" i="1"/>
  <c r="AH57" i="1"/>
  <c r="AF58" i="1"/>
  <c r="AK60" i="1"/>
  <c r="AC60" i="1"/>
  <c r="U60" i="1"/>
  <c r="AO59" i="1"/>
  <c r="AG59" i="1"/>
  <c r="Y59" i="1"/>
  <c r="Q59" i="1"/>
  <c r="AK58" i="1"/>
  <c r="AC58" i="1"/>
  <c r="U58" i="1"/>
  <c r="AO57" i="1"/>
  <c r="AG57" i="1"/>
  <c r="Y57" i="1"/>
  <c r="Q57" i="1"/>
  <c r="AK56" i="1"/>
  <c r="AC56" i="1"/>
  <c r="U56" i="1"/>
  <c r="AO55" i="1"/>
  <c r="AG55" i="1"/>
  <c r="Y55" i="1"/>
  <c r="Q55" i="1"/>
  <c r="AK54" i="1"/>
  <c r="AC54" i="1"/>
  <c r="U54" i="1"/>
  <c r="AO53" i="1"/>
  <c r="AG53" i="1"/>
  <c r="Y53" i="1"/>
  <c r="Q53" i="1"/>
  <c r="AK52" i="1"/>
  <c r="AC52" i="1"/>
  <c r="U52" i="1"/>
  <c r="AO51" i="1"/>
  <c r="AG51" i="1"/>
  <c r="Y51" i="1"/>
  <c r="Q51" i="1"/>
  <c r="AK50" i="1"/>
  <c r="AC50" i="1"/>
  <c r="U50" i="1"/>
  <c r="AO49" i="1"/>
  <c r="AG49" i="1"/>
  <c r="Y49" i="1"/>
  <c r="Q49" i="1"/>
  <c r="AK48" i="1"/>
  <c r="AC48" i="1"/>
  <c r="U48" i="1"/>
  <c r="AO47" i="1"/>
  <c r="AG47" i="1"/>
  <c r="Y47" i="1"/>
  <c r="Q47" i="1"/>
  <c r="AK46" i="1"/>
  <c r="AC46" i="1"/>
  <c r="U46" i="1"/>
  <c r="AO45" i="1"/>
  <c r="AG45" i="1"/>
  <c r="Y45" i="1"/>
  <c r="Q45" i="1"/>
  <c r="AJ60" i="1"/>
  <c r="AB60" i="1"/>
  <c r="T60" i="1"/>
  <c r="L60" i="1"/>
  <c r="AN59" i="1"/>
  <c r="AF59" i="1"/>
  <c r="X59" i="1"/>
  <c r="P59" i="1"/>
  <c r="H59" i="1"/>
  <c r="AJ58" i="1"/>
  <c r="AB58" i="1"/>
  <c r="T58" i="1"/>
  <c r="L58" i="1"/>
  <c r="AN57" i="1"/>
  <c r="AF57" i="1"/>
  <c r="X57" i="1"/>
  <c r="P57" i="1"/>
  <c r="H57" i="1"/>
  <c r="AJ56" i="1"/>
  <c r="AB56" i="1"/>
  <c r="T56" i="1"/>
  <c r="L56" i="1"/>
  <c r="AN55" i="1"/>
  <c r="AF55" i="1"/>
  <c r="X55" i="1"/>
  <c r="P55" i="1"/>
  <c r="H55" i="1"/>
  <c r="AJ54" i="1"/>
  <c r="AB54" i="1"/>
  <c r="T54" i="1"/>
  <c r="L54" i="1"/>
  <c r="AN53" i="1"/>
  <c r="AF53" i="1"/>
  <c r="X53" i="1"/>
  <c r="P53" i="1"/>
  <c r="H53" i="1"/>
  <c r="AJ52" i="1"/>
  <c r="AB52" i="1"/>
  <c r="T52" i="1"/>
  <c r="L52" i="1"/>
  <c r="AN51" i="1"/>
  <c r="AF51" i="1"/>
  <c r="X51" i="1"/>
  <c r="P51" i="1"/>
  <c r="H51" i="1"/>
  <c r="AJ50" i="1"/>
  <c r="AB50" i="1"/>
  <c r="T50" i="1"/>
  <c r="L50" i="1"/>
  <c r="AN49" i="1"/>
  <c r="AF49" i="1"/>
  <c r="X49" i="1"/>
  <c r="P49" i="1"/>
  <c r="H49" i="1"/>
  <c r="AJ48" i="1"/>
  <c r="AB48" i="1"/>
  <c r="T48" i="1"/>
  <c r="L48" i="1"/>
  <c r="AN47" i="1"/>
  <c r="AF47" i="1"/>
  <c r="X47" i="1"/>
  <c r="P47" i="1"/>
  <c r="H47" i="1"/>
  <c r="AJ46" i="1"/>
  <c r="AB46" i="1"/>
  <c r="T46" i="1"/>
  <c r="L46" i="1"/>
  <c r="AN45" i="1"/>
  <c r="AF45" i="1"/>
  <c r="X45" i="1"/>
  <c r="P45" i="1"/>
  <c r="H45" i="1"/>
  <c r="AJ44" i="1"/>
  <c r="AB44" i="1"/>
  <c r="T44" i="1"/>
  <c r="L44" i="1"/>
  <c r="AN43" i="1"/>
  <c r="AF43" i="1"/>
  <c r="AI60" i="1"/>
  <c r="AP60" i="1"/>
  <c r="AO60" i="1"/>
  <c r="AG60" i="1"/>
  <c r="Y60" i="1"/>
  <c r="Q60" i="1"/>
  <c r="AK59" i="1"/>
  <c r="AC59" i="1"/>
  <c r="U59" i="1"/>
  <c r="AO58" i="1"/>
  <c r="AG58" i="1"/>
  <c r="Y58" i="1"/>
  <c r="Q58" i="1"/>
  <c r="AK57" i="1"/>
  <c r="AC57" i="1"/>
  <c r="U57" i="1"/>
  <c r="AO56" i="1"/>
  <c r="AG56" i="1"/>
  <c r="Y56" i="1"/>
  <c r="Q56" i="1"/>
  <c r="AK55" i="1"/>
  <c r="AC55" i="1"/>
  <c r="U55" i="1"/>
  <c r="AO54" i="1"/>
  <c r="AG54" i="1"/>
  <c r="Y54" i="1"/>
  <c r="Q54" i="1"/>
  <c r="AK53" i="1"/>
  <c r="AC53" i="1"/>
  <c r="U53" i="1"/>
  <c r="AO52" i="1"/>
  <c r="AG52" i="1"/>
  <c r="Y52" i="1"/>
  <c r="Q52" i="1"/>
  <c r="AK51" i="1"/>
  <c r="AC51" i="1"/>
  <c r="U51" i="1"/>
  <c r="AO50" i="1"/>
  <c r="AG50" i="1"/>
  <c r="Y50" i="1"/>
  <c r="Q50" i="1"/>
  <c r="AK49" i="1"/>
  <c r="AC49" i="1"/>
  <c r="U49" i="1"/>
  <c r="AO48" i="1"/>
  <c r="AG48" i="1"/>
  <c r="Y48" i="1"/>
  <c r="Q48" i="1"/>
  <c r="AK47" i="1"/>
  <c r="AC47" i="1"/>
  <c r="U47" i="1"/>
  <c r="AO46" i="1"/>
  <c r="AG46" i="1"/>
  <c r="Y46" i="1"/>
  <c r="Q46" i="1"/>
  <c r="AK45" i="1"/>
  <c r="AC45" i="1"/>
  <c r="U45" i="1"/>
  <c r="AO44" i="1"/>
  <c r="AG44" i="1"/>
  <c r="Y44" i="1"/>
  <c r="Q44" i="1"/>
  <c r="AK43" i="1"/>
  <c r="AC43" i="1"/>
  <c r="U43" i="1"/>
  <c r="AO42" i="1"/>
  <c r="AG42" i="1"/>
  <c r="Y42" i="1"/>
  <c r="Q42" i="1"/>
  <c r="AN60" i="1"/>
  <c r="AM60" i="1"/>
  <c r="AE60" i="1"/>
  <c r="W60" i="1"/>
  <c r="O60" i="1"/>
  <c r="G60" i="1"/>
  <c r="I60" i="1" s="1"/>
  <c r="AI59" i="1"/>
  <c r="AA59" i="1"/>
  <c r="S59" i="1"/>
  <c r="K59" i="1"/>
  <c r="M59" i="1" s="1"/>
  <c r="AM58" i="1"/>
  <c r="AE58" i="1"/>
  <c r="W58" i="1"/>
  <c r="O58" i="1"/>
  <c r="G58" i="1"/>
  <c r="AI57" i="1"/>
  <c r="AA57" i="1"/>
  <c r="S57" i="1"/>
  <c r="K57" i="1"/>
  <c r="M57" i="1" s="1"/>
  <c r="AM56" i="1"/>
  <c r="AE56" i="1"/>
  <c r="W56" i="1"/>
  <c r="O56" i="1"/>
  <c r="G56" i="1"/>
  <c r="I56" i="1" s="1"/>
  <c r="AI55" i="1"/>
  <c r="AA55" i="1"/>
  <c r="S55" i="1"/>
  <c r="K55" i="1"/>
  <c r="M55" i="1" s="1"/>
  <c r="AM54" i="1"/>
  <c r="AE54" i="1"/>
  <c r="W54" i="1"/>
  <c r="O54" i="1"/>
  <c r="G54" i="1"/>
  <c r="I54" i="1" s="1"/>
  <c r="AI53" i="1"/>
  <c r="AA53" i="1"/>
  <c r="S53" i="1"/>
  <c r="K53" i="1"/>
  <c r="M53" i="1" s="1"/>
  <c r="AM52" i="1"/>
  <c r="AE52" i="1"/>
  <c r="W52" i="1"/>
  <c r="O52" i="1"/>
  <c r="G52" i="1"/>
  <c r="I52" i="1" s="1"/>
  <c r="AI51" i="1"/>
  <c r="AA51" i="1"/>
  <c r="S51" i="1"/>
  <c r="K51" i="1"/>
  <c r="M51" i="1" s="1"/>
  <c r="AM50" i="1"/>
  <c r="AE50" i="1"/>
  <c r="W50" i="1"/>
  <c r="O50" i="1"/>
  <c r="G50" i="1"/>
  <c r="I50" i="1" s="1"/>
  <c r="AI49" i="1"/>
  <c r="AA49" i="1"/>
  <c r="S49" i="1"/>
  <c r="K49" i="1"/>
  <c r="M49" i="1" s="1"/>
  <c r="AM48" i="1"/>
  <c r="AE48" i="1"/>
  <c r="W48" i="1"/>
  <c r="O48" i="1"/>
  <c r="G48" i="1"/>
  <c r="I48" i="1" s="1"/>
  <c r="AI47" i="1"/>
  <c r="AA47" i="1"/>
  <c r="S47" i="1"/>
  <c r="K47" i="1"/>
  <c r="M47" i="1" s="1"/>
  <c r="AM46" i="1"/>
  <c r="AE46" i="1"/>
  <c r="W46" i="1"/>
  <c r="O46" i="1"/>
  <c r="G46" i="1"/>
  <c r="I46" i="1" s="1"/>
  <c r="AI45" i="1"/>
  <c r="AA45" i="1"/>
  <c r="S45" i="1"/>
  <c r="K45" i="1"/>
  <c r="M45" i="1" s="1"/>
  <c r="AL60" i="1"/>
  <c r="AH60" i="1"/>
  <c r="R60" i="1"/>
  <c r="AL59" i="1"/>
  <c r="V59" i="1"/>
  <c r="AP58" i="1"/>
  <c r="Z58" i="1"/>
  <c r="J58" i="1"/>
  <c r="AD57" i="1"/>
  <c r="N57" i="1"/>
  <c r="AH56" i="1"/>
  <c r="R56" i="1"/>
  <c r="AL55" i="1"/>
  <c r="V55" i="1"/>
  <c r="AP54" i="1"/>
  <c r="Z54" i="1"/>
  <c r="J54" i="1"/>
  <c r="AD53" i="1"/>
  <c r="N53" i="1"/>
  <c r="AH52" i="1"/>
  <c r="AL51" i="1"/>
  <c r="V51" i="1"/>
  <c r="AP50" i="1"/>
  <c r="Z50" i="1"/>
  <c r="J50" i="1"/>
  <c r="AD49" i="1"/>
  <c r="N49" i="1"/>
  <c r="AH48" i="1"/>
  <c r="R48" i="1"/>
  <c r="AL47" i="1"/>
  <c r="V47" i="1"/>
  <c r="AP46" i="1"/>
  <c r="Z46" i="1"/>
  <c r="J46" i="1"/>
  <c r="AD45" i="1"/>
  <c r="N45" i="1"/>
  <c r="AL44" i="1"/>
  <c r="AA44" i="1"/>
  <c r="P44" i="1"/>
  <c r="AP43" i="1"/>
  <c r="AE43" i="1"/>
  <c r="V43" i="1"/>
  <c r="L43" i="1"/>
  <c r="AM42" i="1"/>
  <c r="AD42" i="1"/>
  <c r="U42" i="1"/>
  <c r="L42" i="1"/>
  <c r="AN41" i="1"/>
  <c r="AF41" i="1"/>
  <c r="X41" i="1"/>
  <c r="P41" i="1"/>
  <c r="H41" i="1"/>
  <c r="AJ40" i="1"/>
  <c r="AB40" i="1"/>
  <c r="T40" i="1"/>
  <c r="L40" i="1"/>
  <c r="AN39" i="1"/>
  <c r="AF39" i="1"/>
  <c r="X39" i="1"/>
  <c r="P39" i="1"/>
  <c r="H39" i="1"/>
  <c r="AJ38" i="1"/>
  <c r="AB38" i="1"/>
  <c r="T38" i="1"/>
  <c r="L38" i="1"/>
  <c r="AN37" i="1"/>
  <c r="AF37" i="1"/>
  <c r="X37" i="1"/>
  <c r="P37" i="1"/>
  <c r="H37" i="1"/>
  <c r="AJ36" i="1"/>
  <c r="AB36" i="1"/>
  <c r="T36" i="1"/>
  <c r="L36" i="1"/>
  <c r="AN35" i="1"/>
  <c r="AF35" i="1"/>
  <c r="X35" i="1"/>
  <c r="P35" i="1"/>
  <c r="H35" i="1"/>
  <c r="AJ34" i="1"/>
  <c r="AB34" i="1"/>
  <c r="T34" i="1"/>
  <c r="L34" i="1"/>
  <c r="AN33" i="1"/>
  <c r="AF33" i="1"/>
  <c r="AF60" i="1"/>
  <c r="P60" i="1"/>
  <c r="AJ59" i="1"/>
  <c r="T59" i="1"/>
  <c r="AN58" i="1"/>
  <c r="X58" i="1"/>
  <c r="H58" i="1"/>
  <c r="AB57" i="1"/>
  <c r="L57" i="1"/>
  <c r="AF56" i="1"/>
  <c r="P56" i="1"/>
  <c r="AJ55" i="1"/>
  <c r="T55" i="1"/>
  <c r="AN54" i="1"/>
  <c r="X54" i="1"/>
  <c r="H54" i="1"/>
  <c r="AB53" i="1"/>
  <c r="L53" i="1"/>
  <c r="AF52" i="1"/>
  <c r="P52" i="1"/>
  <c r="AJ51" i="1"/>
  <c r="T51" i="1"/>
  <c r="AN50" i="1"/>
  <c r="X50" i="1"/>
  <c r="H50" i="1"/>
  <c r="AB49" i="1"/>
  <c r="L49" i="1"/>
  <c r="AF48" i="1"/>
  <c r="P48" i="1"/>
  <c r="AJ47" i="1"/>
  <c r="T47" i="1"/>
  <c r="AN46" i="1"/>
  <c r="X46" i="1"/>
  <c r="H46" i="1"/>
  <c r="AB45" i="1"/>
  <c r="L45" i="1"/>
  <c r="AK44" i="1"/>
  <c r="Z44" i="1"/>
  <c r="O44" i="1"/>
  <c r="AO43" i="1"/>
  <c r="AD43" i="1"/>
  <c r="T43" i="1"/>
  <c r="K43" i="1"/>
  <c r="M43" i="1" s="1"/>
  <c r="AL42" i="1"/>
  <c r="AC42" i="1"/>
  <c r="T42" i="1"/>
  <c r="K42" i="1"/>
  <c r="M42" i="1" s="1"/>
  <c r="AM41" i="1"/>
  <c r="AE41" i="1"/>
  <c r="W41" i="1"/>
  <c r="O41" i="1"/>
  <c r="G41" i="1"/>
  <c r="I41" i="1" s="1"/>
  <c r="AI40" i="1"/>
  <c r="AA40" i="1"/>
  <c r="S40" i="1"/>
  <c r="K40" i="1"/>
  <c r="M40" i="1" s="1"/>
  <c r="AM39" i="1"/>
  <c r="AE39" i="1"/>
  <c r="W39" i="1"/>
  <c r="O39" i="1"/>
  <c r="G39" i="1"/>
  <c r="I39" i="1" s="1"/>
  <c r="AI38" i="1"/>
  <c r="AA38" i="1"/>
  <c r="S38" i="1"/>
  <c r="K38" i="1"/>
  <c r="M38" i="1" s="1"/>
  <c r="AM37" i="1"/>
  <c r="AE37" i="1"/>
  <c r="W37" i="1"/>
  <c r="O37" i="1"/>
  <c r="G37" i="1"/>
  <c r="I37" i="1" s="1"/>
  <c r="AI36" i="1"/>
  <c r="AA36" i="1"/>
  <c r="S36" i="1"/>
  <c r="K36" i="1"/>
  <c r="M36" i="1" s="1"/>
  <c r="AM35" i="1"/>
  <c r="AE35" i="1"/>
  <c r="W35" i="1"/>
  <c r="O35" i="1"/>
  <c r="G35" i="1"/>
  <c r="I35" i="1" s="1"/>
  <c r="AI34" i="1"/>
  <c r="AA34" i="1"/>
  <c r="S34" i="1"/>
  <c r="AD60" i="1"/>
  <c r="N60" i="1"/>
  <c r="AH59" i="1"/>
  <c r="R59" i="1"/>
  <c r="AL58" i="1"/>
  <c r="V58" i="1"/>
  <c r="AP57" i="1"/>
  <c r="Z57" i="1"/>
  <c r="J57" i="1"/>
  <c r="AD56" i="1"/>
  <c r="N56" i="1"/>
  <c r="AH55" i="1"/>
  <c r="R55" i="1"/>
  <c r="AL54" i="1"/>
  <c r="V54" i="1"/>
  <c r="AP53" i="1"/>
  <c r="Z53" i="1"/>
  <c r="J53" i="1"/>
  <c r="AD52" i="1"/>
  <c r="N52" i="1"/>
  <c r="AH51" i="1"/>
  <c r="R51" i="1"/>
  <c r="AL50" i="1"/>
  <c r="V50" i="1"/>
  <c r="AP49" i="1"/>
  <c r="Z49" i="1"/>
  <c r="J49" i="1"/>
  <c r="AD48" i="1"/>
  <c r="N48" i="1"/>
  <c r="AH47" i="1"/>
  <c r="R47" i="1"/>
  <c r="AL46" i="1"/>
  <c r="V46" i="1"/>
  <c r="AP45" i="1"/>
  <c r="Z45" i="1"/>
  <c r="J45" i="1"/>
  <c r="AI44" i="1"/>
  <c r="X44" i="1"/>
  <c r="N44" i="1"/>
  <c r="AM43" i="1"/>
  <c r="AB43" i="1"/>
  <c r="S43" i="1"/>
  <c r="J43" i="1"/>
  <c r="AK42" i="1"/>
  <c r="AB42" i="1"/>
  <c r="S42" i="1"/>
  <c r="J42" i="1"/>
  <c r="AL41" i="1"/>
  <c r="AD41" i="1"/>
  <c r="V41" i="1"/>
  <c r="N41" i="1"/>
  <c r="AP40" i="1"/>
  <c r="AH40" i="1"/>
  <c r="Z40" i="1"/>
  <c r="R40" i="1"/>
  <c r="J40" i="1"/>
  <c r="AL39" i="1"/>
  <c r="AD39" i="1"/>
  <c r="V39" i="1"/>
  <c r="N39" i="1"/>
  <c r="AP38" i="1"/>
  <c r="AH38" i="1"/>
  <c r="Z38" i="1"/>
  <c r="J38" i="1"/>
  <c r="AL37" i="1"/>
  <c r="AD37" i="1"/>
  <c r="V37" i="1"/>
  <c r="N37" i="1"/>
  <c r="AP36" i="1"/>
  <c r="AH36" i="1"/>
  <c r="Z36" i="1"/>
  <c r="R36" i="1"/>
  <c r="J36" i="1"/>
  <c r="AL35" i="1"/>
  <c r="AD35" i="1"/>
  <c r="V35" i="1"/>
  <c r="N35" i="1"/>
  <c r="AP34" i="1"/>
  <c r="AH34" i="1"/>
  <c r="Z34" i="1"/>
  <c r="R34" i="1"/>
  <c r="AA60" i="1"/>
  <c r="K60" i="1"/>
  <c r="M60" i="1" s="1"/>
  <c r="AE59" i="1"/>
  <c r="O59" i="1"/>
  <c r="AI58" i="1"/>
  <c r="S58" i="1"/>
  <c r="Z60" i="1"/>
  <c r="J60" i="1"/>
  <c r="AD59" i="1"/>
  <c r="N59" i="1"/>
  <c r="AH58" i="1"/>
  <c r="R58" i="1"/>
  <c r="AL57" i="1"/>
  <c r="V57" i="1"/>
  <c r="AP56" i="1"/>
  <c r="Z56" i="1"/>
  <c r="J56" i="1"/>
  <c r="AD55" i="1"/>
  <c r="N55" i="1"/>
  <c r="AH54" i="1"/>
  <c r="R54" i="1"/>
  <c r="AL53" i="1"/>
  <c r="V53" i="1"/>
  <c r="AP52" i="1"/>
  <c r="Z52" i="1"/>
  <c r="J52" i="1"/>
  <c r="AD51" i="1"/>
  <c r="N51" i="1"/>
  <c r="AH50" i="1"/>
  <c r="R50" i="1"/>
  <c r="AL49" i="1"/>
  <c r="V49" i="1"/>
  <c r="AP48" i="1"/>
  <c r="Z48" i="1"/>
  <c r="J48" i="1"/>
  <c r="AD47" i="1"/>
  <c r="N47" i="1"/>
  <c r="AH46" i="1"/>
  <c r="R46" i="1"/>
  <c r="AL45" i="1"/>
  <c r="V45" i="1"/>
  <c r="G45" i="1"/>
  <c r="I45" i="1" s="1"/>
  <c r="AF44" i="1"/>
  <c r="V44" i="1"/>
  <c r="K44" i="1"/>
  <c r="M44" i="1" s="1"/>
  <c r="AJ43" i="1"/>
  <c r="Z43" i="1"/>
  <c r="Q43" i="1"/>
  <c r="H43" i="1"/>
  <c r="AI42" i="1"/>
  <c r="Z42" i="1"/>
  <c r="P42" i="1"/>
  <c r="H42" i="1"/>
  <c r="AJ41" i="1"/>
  <c r="AB41" i="1"/>
  <c r="T41" i="1"/>
  <c r="L41" i="1"/>
  <c r="AN40" i="1"/>
  <c r="AF40" i="1"/>
  <c r="X40" i="1"/>
  <c r="P40" i="1"/>
  <c r="H40" i="1"/>
  <c r="AJ39" i="1"/>
  <c r="AB39" i="1"/>
  <c r="T39" i="1"/>
  <c r="X60" i="1"/>
  <c r="N28" i="1"/>
  <c r="V28" i="1"/>
  <c r="AD28" i="1"/>
  <c r="K29" i="1"/>
  <c r="M29" i="1" s="1"/>
  <c r="S29" i="1"/>
  <c r="AA29" i="1"/>
  <c r="AI29" i="1"/>
  <c r="G30" i="1"/>
  <c r="I30" i="1" s="1"/>
  <c r="O30" i="1"/>
  <c r="W30" i="1"/>
  <c r="AE30" i="1"/>
  <c r="AM30" i="1"/>
  <c r="K31" i="1"/>
  <c r="M31" i="1" s="1"/>
  <c r="S31" i="1"/>
  <c r="AA31" i="1"/>
  <c r="AI31" i="1"/>
  <c r="G32" i="1"/>
  <c r="I32" i="1" s="1"/>
  <c r="O32" i="1"/>
  <c r="W32" i="1"/>
  <c r="AE32" i="1"/>
  <c r="AM32" i="1"/>
  <c r="K33" i="1"/>
  <c r="M33" i="1" s="1"/>
  <c r="S33" i="1"/>
  <c r="AA33" i="1"/>
  <c r="AJ33" i="1"/>
  <c r="U34" i="1"/>
  <c r="AF34" i="1"/>
  <c r="J35" i="1"/>
  <c r="U35" i="1"/>
  <c r="AI35" i="1"/>
  <c r="X36" i="1"/>
  <c r="AL36" i="1"/>
  <c r="AA37" i="1"/>
  <c r="AO37" i="1"/>
  <c r="P38" i="1"/>
  <c r="AD38" i="1"/>
  <c r="AO38" i="1"/>
  <c r="S39" i="1"/>
  <c r="AI39" i="1"/>
  <c r="O40" i="1"/>
  <c r="AE40" i="1"/>
  <c r="K41" i="1"/>
  <c r="M41" i="1" s="1"/>
  <c r="AA41" i="1"/>
  <c r="G42" i="1"/>
  <c r="I42" i="1" s="1"/>
  <c r="X42" i="1"/>
  <c r="G43" i="1"/>
  <c r="I43" i="1" s="1"/>
  <c r="Y43" i="1"/>
  <c r="J44" i="1"/>
  <c r="AE44" i="1"/>
  <c r="T45" i="1"/>
  <c r="P46" i="1"/>
  <c r="L47" i="1"/>
  <c r="H48" i="1"/>
  <c r="AN48" i="1"/>
  <c r="AJ49" i="1"/>
  <c r="AF50" i="1"/>
  <c r="AB51" i="1"/>
  <c r="X52" i="1"/>
  <c r="T53" i="1"/>
  <c r="P54" i="1"/>
  <c r="L55" i="1"/>
  <c r="H56" i="1"/>
  <c r="AN56" i="1"/>
  <c r="AJ57" i="1"/>
  <c r="G59" i="1"/>
  <c r="I59" i="1" s="1"/>
  <c r="H60" i="1"/>
  <c r="G28" i="1"/>
  <c r="O28" i="1"/>
  <c r="W28" i="1"/>
  <c r="AE28" i="1"/>
  <c r="L29" i="1"/>
  <c r="T29" i="1"/>
  <c r="AB29" i="1"/>
  <c r="AJ29" i="1"/>
  <c r="H30" i="1"/>
  <c r="P30" i="1"/>
  <c r="X30" i="1"/>
  <c r="AF30" i="1"/>
  <c r="AN30" i="1"/>
  <c r="L31" i="1"/>
  <c r="T31" i="1"/>
  <c r="AB31" i="1"/>
  <c r="AJ31" i="1"/>
  <c r="H32" i="1"/>
  <c r="P32" i="1"/>
  <c r="X32" i="1"/>
  <c r="AF32" i="1"/>
  <c r="AN32" i="1"/>
  <c r="L33" i="1"/>
  <c r="T33" i="1"/>
  <c r="AB33" i="1"/>
  <c r="AK33" i="1"/>
  <c r="J34" i="1"/>
  <c r="V34" i="1"/>
  <c r="AG34" i="1"/>
  <c r="K35" i="1"/>
  <c r="M35" i="1" s="1"/>
  <c r="Y35" i="1"/>
  <c r="AJ35" i="1"/>
  <c r="N36" i="1"/>
  <c r="Y36" i="1"/>
  <c r="AM36" i="1"/>
  <c r="Q37" i="1"/>
  <c r="AB37" i="1"/>
  <c r="AP37" i="1"/>
  <c r="Q38" i="1"/>
  <c r="AE38" i="1"/>
  <c r="U39" i="1"/>
  <c r="AK39" i="1"/>
  <c r="Q40" i="1"/>
  <c r="AG40" i="1"/>
  <c r="AC41" i="1"/>
  <c r="AA42" i="1"/>
  <c r="AA43" i="1"/>
  <c r="AH44" i="1"/>
  <c r="W45" i="1"/>
  <c r="S46" i="1"/>
  <c r="O47" i="1"/>
  <c r="K48" i="1"/>
  <c r="M48" i="1" s="1"/>
  <c r="G49" i="1"/>
  <c r="I49" i="1" s="1"/>
  <c r="AM49" i="1"/>
  <c r="AI50" i="1"/>
  <c r="AE51" i="1"/>
  <c r="AA52" i="1"/>
  <c r="W53" i="1"/>
  <c r="S54" i="1"/>
  <c r="O55" i="1"/>
  <c r="K56" i="1"/>
  <c r="M56" i="1" s="1"/>
  <c r="G57" i="1"/>
  <c r="I57" i="1" s="1"/>
  <c r="AM57" i="1"/>
  <c r="J59" i="1"/>
  <c r="S60" i="1"/>
  <c r="H28" i="1"/>
  <c r="P28" i="1"/>
  <c r="X28" i="1"/>
  <c r="AF28" i="1"/>
  <c r="U29" i="1"/>
  <c r="AC29" i="1"/>
  <c r="AK29" i="1"/>
  <c r="Q30" i="1"/>
  <c r="Y30" i="1"/>
  <c r="AG30" i="1"/>
  <c r="AO30" i="1"/>
  <c r="U31" i="1"/>
  <c r="AC31" i="1"/>
  <c r="AK31" i="1"/>
  <c r="Q32" i="1"/>
  <c r="Y32" i="1"/>
  <c r="AG32" i="1"/>
  <c r="AO32" i="1"/>
  <c r="U33" i="1"/>
  <c r="AC33" i="1"/>
  <c r="AL33" i="1"/>
  <c r="K34" i="1"/>
  <c r="M34" i="1" s="1"/>
  <c r="W34" i="1"/>
  <c r="AK34" i="1"/>
  <c r="L35" i="1"/>
  <c r="Z35" i="1"/>
  <c r="AK35" i="1"/>
  <c r="O36" i="1"/>
  <c r="AC36" i="1"/>
  <c r="AN36" i="1"/>
  <c r="R37" i="1"/>
  <c r="AC37" i="1"/>
  <c r="G38" i="1"/>
  <c r="I38" i="1" s="1"/>
  <c r="U38" i="1"/>
  <c r="AF38" i="1"/>
  <c r="J39" i="1"/>
  <c r="Y39" i="1"/>
  <c r="AO39" i="1"/>
  <c r="U40" i="1"/>
  <c r="AK40" i="1"/>
  <c r="Q41" i="1"/>
  <c r="AG41" i="1"/>
  <c r="AE42" i="1"/>
  <c r="N43" i="1"/>
  <c r="AG43" i="1"/>
  <c r="R44" i="1"/>
  <c r="AM44" i="1"/>
  <c r="AE45" i="1"/>
  <c r="AA46" i="1"/>
  <c r="W47" i="1"/>
  <c r="S48" i="1"/>
  <c r="O49" i="1"/>
  <c r="K50" i="1"/>
  <c r="M50" i="1" s="1"/>
  <c r="G51" i="1"/>
  <c r="I51" i="1" s="1"/>
  <c r="AM51" i="1"/>
  <c r="AI52" i="1"/>
  <c r="AE53" i="1"/>
  <c r="AA54" i="1"/>
  <c r="W55" i="1"/>
  <c r="S56" i="1"/>
  <c r="O57" i="1"/>
  <c r="K58" i="1"/>
  <c r="M58" i="1" s="1"/>
  <c r="L59" i="1"/>
  <c r="V60" i="1"/>
  <c r="G5" i="4" l="1"/>
  <c r="G12" i="4"/>
  <c r="G16" i="4"/>
  <c r="G11" i="4"/>
  <c r="G18" i="4"/>
  <c r="P62" i="1"/>
  <c r="W62" i="1"/>
  <c r="T62" i="1"/>
  <c r="S62" i="1"/>
  <c r="O62" i="1"/>
  <c r="L62" i="1"/>
  <c r="K62" i="1"/>
  <c r="U62" i="1"/>
  <c r="M62" i="1"/>
  <c r="Y62" i="1"/>
  <c r="Q62" i="1"/>
  <c r="X62" i="1"/>
  <c r="G17" i="4"/>
  <c r="G31" i="4"/>
  <c r="I58" i="1"/>
  <c r="I25" i="1" s="1"/>
  <c r="B33" i="1"/>
  <c r="B17" i="4" s="1"/>
  <c r="B36" i="1"/>
  <c r="B14" i="4" s="1"/>
  <c r="B31" i="1"/>
  <c r="B20" i="4" s="1"/>
  <c r="G14" i="4"/>
  <c r="B44" i="1"/>
  <c r="B5" i="4" s="1"/>
  <c r="G20" i="4"/>
  <c r="G26" i="4"/>
  <c r="B50" i="1"/>
  <c r="B26" i="4" s="1"/>
  <c r="G29" i="4"/>
  <c r="B55" i="1"/>
  <c r="B29" i="4" s="1"/>
  <c r="G13" i="4"/>
  <c r="B32" i="1"/>
  <c r="B13" i="4" s="1"/>
  <c r="B41" i="1"/>
  <c r="B19" i="4" s="1"/>
  <c r="G19" i="4"/>
  <c r="G27" i="4"/>
  <c r="B52" i="1"/>
  <c r="B27" i="4" s="1"/>
  <c r="B47" i="1"/>
  <c r="B18" i="4" s="1"/>
  <c r="B54" i="1"/>
  <c r="B12" i="4" s="1"/>
  <c r="G21" i="4"/>
  <c r="B38" i="1"/>
  <c r="B21" i="4" s="1"/>
  <c r="G22" i="4"/>
  <c r="B43" i="1"/>
  <c r="B22" i="4" s="1"/>
  <c r="G8" i="4"/>
  <c r="B35" i="1"/>
  <c r="B8" i="4" s="1"/>
  <c r="G32" i="4"/>
  <c r="B59" i="1"/>
  <c r="B32" i="4" s="1"/>
  <c r="G2" i="4"/>
  <c r="B56" i="1"/>
  <c r="B2" i="4" s="1"/>
  <c r="G30" i="4"/>
  <c r="B57" i="1"/>
  <c r="B30" i="4" s="1"/>
  <c r="G10" i="4"/>
  <c r="B30" i="1"/>
  <c r="B10" i="4" s="1"/>
  <c r="G23" i="4"/>
  <c r="B45" i="1"/>
  <c r="B23" i="4" s="1"/>
  <c r="G4" i="4"/>
  <c r="B37" i="1"/>
  <c r="B4" i="4" s="1"/>
  <c r="G15" i="4"/>
  <c r="B46" i="1"/>
  <c r="B15" i="4" s="1"/>
  <c r="B34" i="1"/>
  <c r="B11" i="4" s="1"/>
  <c r="B29" i="1"/>
  <c r="B16" i="4" s="1"/>
  <c r="G33" i="4"/>
  <c r="B60" i="1"/>
  <c r="B33" i="4" s="1"/>
  <c r="G3" i="4"/>
  <c r="B51" i="1"/>
  <c r="B3" i="4" s="1"/>
  <c r="G25" i="4"/>
  <c r="B49" i="1"/>
  <c r="B25" i="4" s="1"/>
  <c r="G7" i="4"/>
  <c r="B42" i="1"/>
  <c r="B7" i="4" s="1"/>
  <c r="G9" i="4"/>
  <c r="B39" i="1"/>
  <c r="B9" i="4" s="1"/>
  <c r="G24" i="4"/>
  <c r="B48" i="1"/>
  <c r="B24" i="4" s="1"/>
  <c r="G28" i="4"/>
  <c r="B53" i="1"/>
  <c r="B28" i="4" s="1"/>
  <c r="G6" i="4"/>
  <c r="B40" i="1"/>
  <c r="B6" i="4" s="1"/>
  <c r="G62" i="1"/>
  <c r="H62" i="1"/>
  <c r="G25" i="1"/>
  <c r="H25" i="1"/>
  <c r="O25" i="1"/>
  <c r="T25" i="1"/>
  <c r="Y25" i="1"/>
  <c r="X25" i="1"/>
  <c r="W25" i="1"/>
  <c r="S25" i="1"/>
  <c r="Q25" i="1"/>
  <c r="P25" i="1"/>
  <c r="U25" i="1"/>
  <c r="L25" i="1"/>
  <c r="AM25" i="1"/>
  <c r="AJ25" i="1"/>
  <c r="AI25" i="1"/>
  <c r="AN25" i="1"/>
  <c r="AO25" i="1"/>
  <c r="AK25" i="1"/>
  <c r="K25" i="1"/>
  <c r="M25" i="1"/>
  <c r="N62" i="1" l="1"/>
  <c r="I62" i="1"/>
  <c r="I63" i="1" s="1"/>
  <c r="V62" i="1"/>
  <c r="R62" i="1"/>
  <c r="B58" i="1"/>
  <c r="B31" i="4" s="1"/>
  <c r="Z62" i="1"/>
  <c r="M63" i="1"/>
  <c r="Q63" i="1"/>
  <c r="A48" i="1"/>
  <c r="A58" i="1"/>
  <c r="A55" i="1"/>
  <c r="C55" i="1" s="1"/>
  <c r="C29" i="4" s="1"/>
  <c r="A60" i="1"/>
  <c r="A57" i="1"/>
  <c r="A59" i="1"/>
  <c r="A56" i="1"/>
  <c r="C56" i="1" s="1"/>
  <c r="C2" i="4" s="1"/>
  <c r="A52" i="1"/>
  <c r="A36" i="1"/>
  <c r="A54" i="1"/>
  <c r="C54" i="1" s="1"/>
  <c r="A50" i="1"/>
  <c r="A34" i="1"/>
  <c r="A29" i="1"/>
  <c r="A16" i="4" s="1"/>
  <c r="A47" i="1"/>
  <c r="A44" i="1"/>
  <c r="A51" i="1"/>
  <c r="A38" i="1"/>
  <c r="A35" i="1"/>
  <c r="A45" i="1"/>
  <c r="A40" i="1"/>
  <c r="A37" i="1"/>
  <c r="A39" i="1"/>
  <c r="A46" i="1"/>
  <c r="A32" i="1"/>
  <c r="A41" i="1"/>
  <c r="A42" i="1"/>
  <c r="A49" i="1"/>
  <c r="A30" i="1"/>
  <c r="A53" i="1"/>
  <c r="A31" i="1"/>
  <c r="A43" i="1"/>
  <c r="A33" i="1"/>
  <c r="R25" i="1"/>
  <c r="J25" i="1"/>
  <c r="Z25" i="1"/>
  <c r="V25" i="1"/>
  <c r="AL25" i="1"/>
  <c r="N25" i="1"/>
  <c r="AP25" i="1"/>
  <c r="J62" i="1" l="1"/>
  <c r="B25" i="1"/>
  <c r="C43" i="1"/>
  <c r="C22" i="4" s="1"/>
  <c r="A22" i="4"/>
  <c r="C46" i="1"/>
  <c r="C15" i="4" s="1"/>
  <c r="A15" i="4"/>
  <c r="C31" i="1"/>
  <c r="C20" i="4" s="1"/>
  <c r="A20" i="4"/>
  <c r="D59" i="1"/>
  <c r="D32" i="4" s="1"/>
  <c r="A32" i="4"/>
  <c r="C53" i="1"/>
  <c r="A28" i="4"/>
  <c r="C37" i="1"/>
  <c r="C4" i="4" s="1"/>
  <c r="A4" i="4"/>
  <c r="C40" i="1"/>
  <c r="C6" i="4" s="1"/>
  <c r="A6" i="4"/>
  <c r="C34" i="1"/>
  <c r="A11" i="4"/>
  <c r="C45" i="1"/>
  <c r="A23" i="4"/>
  <c r="C35" i="1"/>
  <c r="C8" i="4" s="1"/>
  <c r="A8" i="4"/>
  <c r="C12" i="4"/>
  <c r="A12" i="4"/>
  <c r="D58" i="1"/>
  <c r="D31" i="4" s="1"/>
  <c r="A31" i="4"/>
  <c r="D56" i="1"/>
  <c r="D2" i="4" s="1"/>
  <c r="A2" i="4"/>
  <c r="C30" i="1"/>
  <c r="C10" i="4" s="1"/>
  <c r="A10" i="4"/>
  <c r="C50" i="1"/>
  <c r="A26" i="4"/>
  <c r="C41" i="1"/>
  <c r="C19" i="4" s="1"/>
  <c r="A19" i="4"/>
  <c r="C48" i="1"/>
  <c r="A24" i="4"/>
  <c r="C44" i="1"/>
  <c r="A5" i="4"/>
  <c r="C39" i="1"/>
  <c r="C9" i="4" s="1"/>
  <c r="A9" i="4"/>
  <c r="C47" i="1"/>
  <c r="A18" i="4"/>
  <c r="D57" i="1"/>
  <c r="D30" i="4" s="1"/>
  <c r="A30" i="4"/>
  <c r="D60" i="1"/>
  <c r="D33" i="4" s="1"/>
  <c r="A33" i="4"/>
  <c r="C49" i="1"/>
  <c r="C25" i="4" s="1"/>
  <c r="A25" i="4"/>
  <c r="D55" i="1"/>
  <c r="D29" i="4" s="1"/>
  <c r="A29" i="4"/>
  <c r="C42" i="1"/>
  <c r="C7" i="4" s="1"/>
  <c r="A7" i="4"/>
  <c r="C38" i="1"/>
  <c r="A21" i="4"/>
  <c r="C36" i="1"/>
  <c r="C14" i="4" s="1"/>
  <c r="A14" i="4"/>
  <c r="C33" i="1"/>
  <c r="C17" i="4" s="1"/>
  <c r="A17" i="4"/>
  <c r="C32" i="1"/>
  <c r="C13" i="4" s="1"/>
  <c r="A13" i="4"/>
  <c r="C51" i="1"/>
  <c r="A3" i="4"/>
  <c r="C52" i="1"/>
  <c r="C27" i="4" s="1"/>
  <c r="A27" i="4"/>
  <c r="A62" i="1"/>
  <c r="C29" i="1"/>
  <c r="A25" i="1"/>
  <c r="C28" i="4" l="1"/>
  <c r="D53" i="1"/>
  <c r="D28" i="4" s="1"/>
  <c r="D46" i="1"/>
  <c r="D15" i="4" s="1"/>
  <c r="D43" i="1"/>
  <c r="D22" i="4" s="1"/>
  <c r="D30" i="1"/>
  <c r="D10" i="4" s="1"/>
  <c r="D32" i="1"/>
  <c r="D13" i="4" s="1"/>
  <c r="D42" i="1"/>
  <c r="D7" i="4" s="1"/>
  <c r="D37" i="1"/>
  <c r="D4" i="4" s="1"/>
  <c r="D35" i="1"/>
  <c r="D8" i="4" s="1"/>
  <c r="D40" i="1"/>
  <c r="D6" i="4" s="1"/>
  <c r="D54" i="1"/>
  <c r="D12" i="4" s="1"/>
  <c r="C62" i="1"/>
  <c r="C16" i="4"/>
  <c r="D47" i="1"/>
  <c r="D18" i="4" s="1"/>
  <c r="C18" i="4"/>
  <c r="D34" i="1"/>
  <c r="D11" i="4" s="1"/>
  <c r="C11" i="4"/>
  <c r="D33" i="1"/>
  <c r="D17" i="4" s="1"/>
  <c r="D41" i="1"/>
  <c r="D19" i="4" s="1"/>
  <c r="D50" i="1"/>
  <c r="D26" i="4" s="1"/>
  <c r="C26" i="4"/>
  <c r="D51" i="1"/>
  <c r="D3" i="4" s="1"/>
  <c r="C3" i="4"/>
  <c r="D38" i="1"/>
  <c r="D21" i="4" s="1"/>
  <c r="C21" i="4"/>
  <c r="D44" i="1"/>
  <c r="D5" i="4" s="1"/>
  <c r="C5" i="4"/>
  <c r="D49" i="1"/>
  <c r="D25" i="4" s="1"/>
  <c r="D36" i="1"/>
  <c r="D14" i="4" s="1"/>
  <c r="D39" i="1"/>
  <c r="D9" i="4" s="1"/>
  <c r="D31" i="1"/>
  <c r="D20" i="4" s="1"/>
  <c r="D52" i="1"/>
  <c r="D27" i="4" s="1"/>
  <c r="D48" i="1"/>
  <c r="D24" i="4" s="1"/>
  <c r="C24" i="4"/>
  <c r="D45" i="1"/>
  <c r="D23" i="4" s="1"/>
  <c r="C23" i="4"/>
  <c r="C25" i="1"/>
  <c r="D29" i="1"/>
  <c r="D16" i="4" s="1"/>
  <c r="U63" i="1" l="1"/>
  <c r="D25" i="1"/>
  <c r="D62" i="1"/>
  <c r="Y63" i="1" l="1"/>
</calcChain>
</file>

<file path=xl/sharedStrings.xml><?xml version="1.0" encoding="utf-8"?>
<sst xmlns="http://schemas.openxmlformats.org/spreadsheetml/2006/main" count="92" uniqueCount="79">
  <si>
    <t>9403</t>
  </si>
  <si>
    <t>9408</t>
  </si>
  <si>
    <t>9409</t>
  </si>
  <si>
    <t>9419</t>
  </si>
  <si>
    <t>9420</t>
  </si>
  <si>
    <t>9426</t>
  </si>
  <si>
    <t>9427</t>
  </si>
  <si>
    <t>9428</t>
  </si>
  <si>
    <t>9471</t>
  </si>
  <si>
    <t>9501</t>
  </si>
  <si>
    <t>9502</t>
  </si>
  <si>
    <t>9503</t>
  </si>
  <si>
    <t>9504</t>
  </si>
  <si>
    <t>9601</t>
  </si>
  <si>
    <t>9603</t>
  </si>
  <si>
    <t>9604</t>
  </si>
  <si>
    <t>9608</t>
  </si>
  <si>
    <t>9702</t>
  </si>
  <si>
    <t>9704</t>
  </si>
  <si>
    <t>9400</t>
  </si>
  <si>
    <t>9500</t>
  </si>
  <si>
    <t>9600</t>
  </si>
  <si>
    <t>9602</t>
  </si>
  <si>
    <t>9605</t>
  </si>
  <si>
    <t>9606</t>
  </si>
  <si>
    <t>9607</t>
  </si>
  <si>
    <t>9700</t>
  </si>
  <si>
    <t>9701</t>
  </si>
  <si>
    <t>9703</t>
  </si>
  <si>
    <t>9705</t>
  </si>
  <si>
    <t>9706</t>
  </si>
  <si>
    <t>9707</t>
  </si>
  <si>
    <t>9708</t>
  </si>
  <si>
    <t>Kabupaten 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</si>
  <si>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</si>
  <si>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</si>
  <si>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</si>
  <si>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</si>
  <si>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</si>
  <si>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</si>
  <si>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</si>
  <si>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</si>
  <si>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</si>
  <si>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</si>
  <si>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</si>
  <si>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</si>
  <si>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Nabire</t>
  </si>
  <si>
    <t>Paniai</t>
  </si>
  <si>
    <t>Puncak Jaya</t>
  </si>
  <si>
    <t>Mimika</t>
  </si>
  <si>
    <t>Puncak</t>
  </si>
  <si>
    <t>Dogiyai</t>
  </si>
  <si>
    <t>Intan Jaya</t>
  </si>
  <si>
    <t>Deiyai</t>
  </si>
  <si>
    <t>Jayawijaya</t>
  </si>
  <si>
    <t>Yahukimo</t>
  </si>
  <si>
    <t>Pegunungan Bintang</t>
  </si>
  <si>
    <t>Tolikara</t>
  </si>
  <si>
    <t>Nduga</t>
  </si>
  <si>
    <t>Lanny Jaya</t>
  </si>
  <si>
    <t>Mamberamo Tengah</t>
  </si>
  <si>
    <t>Yalimo</t>
  </si>
  <si>
    <t>weights</t>
  </si>
  <si>
    <t>% lapangan</t>
  </si>
  <si>
    <t>total_belum</t>
  </si>
  <si>
    <t>kota</t>
  </si>
  <si>
    <t>%lapangan_weighted</t>
  </si>
  <si>
    <t>kab_id</t>
  </si>
  <si>
    <t>total</t>
  </si>
  <si>
    <t>Row Labels</t>
  </si>
  <si>
    <t>Grand Total</t>
  </si>
  <si>
    <t>Sum of total_belum</t>
  </si>
  <si>
    <t>Top 5 belum selesai lapangan</t>
  </si>
  <si>
    <t>approved</t>
  </si>
  <si>
    <t>submit</t>
  </si>
  <si>
    <t>completed</t>
  </si>
  <si>
    <t>edited</t>
  </si>
  <si>
    <t>cacah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</si>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</sst>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9" fontId="0" fillId="3" borderId="0" xfId="1" applyFont="1" applyFill="1"/>
    <xf numFmtId="0" fontId="0" fillId="0" borderId="0" xfId="0" applyAlignment="1">
      <alignment wrapText="1"/>
    </xf>
    <xf numFmtId="164" fontId="0" fillId="0" borderId="0" xfId="2" applyNumberFormat="1" applyFont="1"/>
    <xf numFmtId="9" fontId="0" fillId="4" borderId="0" xfId="1" applyFont="1" applyFill="1"/>
    <xf numFmtId="43" fontId="0" fillId="0" borderId="0" xfId="0" applyNumberFormat="1"/>
    <xf numFmtId="0" fontId="2" fillId="0" borderId="0" xfId="0" applyFont="1"/>
    <xf numFmtId="43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9"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Users/ronypurba/Library/CloudStorage/GoogleDrive-ronypurba@gmail.com/My%20Drive/projects/fasih_dashboard/outputs/output.xlsx" TargetMode="External"/><Relationship Id="rId1" Type="http://schemas.openxmlformats.org/officeDocument/2006/relationships/externalLinkPath" Target="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name</v>
          </cell>
          <cell r="B1" t="str">
            <v>IMK Triwulanan 2025 - PENCACAHAN</v>
          </cell>
          <cell r="C1"/>
          <cell r="D1"/>
          <cell r="E1"/>
          <cell r="F1" t="str">
            <v>PENDATAAN IBS TRIWULANAN 2025</v>
          </cell>
        </row>
        <row r="2">
          <cell r="A2"/>
          <cell r="B2" t="str">
            <v>total</v>
          </cell>
          <cell r="C2" t="str">
            <v>cacah</v>
          </cell>
          <cell r="D2" t="str">
            <v>selesai</v>
          </cell>
          <cell r="E2" t="str">
            <v>pct_selesai</v>
          </cell>
          <cell r="F2" t="str">
            <v>total</v>
          </cell>
          <cell r="G2" t="str">
            <v>cacah</v>
          </cell>
          <cell r="H2" t="str">
            <v>selesai</v>
          </cell>
          <cell r="I2" t="str">
            <v>pct_selesai</v>
          </cell>
        </row>
        <row r="3">
          <cell r="A3" t="str">
            <v>kd_kab</v>
          </cell>
        </row>
        <row r="4">
          <cell r="A4" t="str">
            <v>9403</v>
          </cell>
          <cell r="B4">
            <v>16</v>
          </cell>
          <cell r="C4">
            <v>0</v>
          </cell>
          <cell r="D4">
            <v>16</v>
          </cell>
          <cell r="E4">
            <v>1</v>
          </cell>
          <cell r="F4">
            <v>6</v>
          </cell>
          <cell r="G4">
            <v>0</v>
          </cell>
          <cell r="H4">
            <v>6</v>
          </cell>
          <cell r="I4">
            <v>1</v>
          </cell>
        </row>
        <row r="5">
          <cell r="A5" t="str">
            <v>9408</v>
          </cell>
          <cell r="B5">
            <v>41</v>
          </cell>
          <cell r="C5">
            <v>0</v>
          </cell>
          <cell r="D5">
            <v>41</v>
          </cell>
          <cell r="E5">
            <v>1</v>
          </cell>
          <cell r="F5">
            <v>3</v>
          </cell>
          <cell r="G5">
            <v>0</v>
          </cell>
          <cell r="H5">
            <v>3</v>
          </cell>
          <cell r="I5">
            <v>1</v>
          </cell>
        </row>
        <row r="6">
          <cell r="A6" t="str">
            <v>9409</v>
          </cell>
          <cell r="B6">
            <v>28</v>
          </cell>
          <cell r="C6">
            <v>0</v>
          </cell>
          <cell r="D6">
            <v>33</v>
          </cell>
          <cell r="E6">
            <v>1.18</v>
          </cell>
          <cell r="F6">
            <v>5</v>
          </cell>
          <cell r="G6">
            <v>0</v>
          </cell>
          <cell r="H6">
            <v>5</v>
          </cell>
          <cell r="I6">
            <v>1</v>
          </cell>
        </row>
        <row r="7">
          <cell r="A7" t="str">
            <v>9419</v>
          </cell>
          <cell r="B7">
            <v>50</v>
          </cell>
          <cell r="C7">
            <v>0</v>
          </cell>
          <cell r="D7">
            <v>50</v>
          </cell>
          <cell r="E7">
            <v>1</v>
          </cell>
        </row>
        <row r="8">
          <cell r="A8" t="str">
            <v>9420</v>
          </cell>
          <cell r="B8">
            <v>33</v>
          </cell>
          <cell r="C8">
            <v>0</v>
          </cell>
          <cell r="D8">
            <v>33</v>
          </cell>
          <cell r="E8">
            <v>1</v>
          </cell>
        </row>
        <row r="9">
          <cell r="A9" t="str">
            <v>9426</v>
          </cell>
          <cell r="B9">
            <v>10</v>
          </cell>
          <cell r="C9">
            <v>0</v>
          </cell>
          <cell r="D9">
            <v>10</v>
          </cell>
          <cell r="E9">
            <v>1</v>
          </cell>
        </row>
        <row r="10">
          <cell r="A10" t="str">
            <v>9427</v>
          </cell>
          <cell r="B10">
            <v>29</v>
          </cell>
          <cell r="C10">
            <v>0</v>
          </cell>
          <cell r="D10">
            <v>29</v>
          </cell>
          <cell r="E10">
            <v>1</v>
          </cell>
        </row>
        <row r="11">
          <cell r="A11" t="str">
            <v>9428</v>
          </cell>
          <cell r="B11">
            <v>5</v>
          </cell>
          <cell r="C11">
            <v>0</v>
          </cell>
          <cell r="D11">
            <v>5</v>
          </cell>
          <cell r="E11">
            <v>1</v>
          </cell>
        </row>
        <row r="12">
          <cell r="A12" t="str">
            <v>9471</v>
          </cell>
          <cell r="B12">
            <v>95</v>
          </cell>
          <cell r="C12">
            <v>0</v>
          </cell>
          <cell r="D12">
            <v>96</v>
          </cell>
          <cell r="E12">
            <v>1.01</v>
          </cell>
          <cell r="F12">
            <v>44</v>
          </cell>
          <cell r="G12">
            <v>0</v>
          </cell>
          <cell r="H12">
            <v>44</v>
          </cell>
          <cell r="I12">
            <v>1</v>
          </cell>
        </row>
        <row r="13">
          <cell r="A13" t="str">
            <v>9501</v>
          </cell>
          <cell r="B13">
            <v>203</v>
          </cell>
          <cell r="C13">
            <v>0</v>
          </cell>
          <cell r="D13">
            <v>202</v>
          </cell>
          <cell r="E13">
            <v>1</v>
          </cell>
          <cell r="F13">
            <v>14</v>
          </cell>
          <cell r="G13">
            <v>0</v>
          </cell>
          <cell r="H13">
            <v>14</v>
          </cell>
          <cell r="I13">
            <v>1</v>
          </cell>
        </row>
        <row r="14">
          <cell r="A14" t="str">
            <v>9502</v>
          </cell>
          <cell r="B14">
            <v>58</v>
          </cell>
          <cell r="C14">
            <v>0</v>
          </cell>
          <cell r="D14">
            <v>58</v>
          </cell>
          <cell r="E14">
            <v>1</v>
          </cell>
          <cell r="F14">
            <v>4</v>
          </cell>
          <cell r="G14">
            <v>0</v>
          </cell>
          <cell r="H14">
            <v>2</v>
          </cell>
          <cell r="I14">
            <v>0.5</v>
          </cell>
        </row>
        <row r="15">
          <cell r="A15" t="str">
            <v>9503</v>
          </cell>
          <cell r="B15">
            <v>37</v>
          </cell>
          <cell r="C15">
            <v>0</v>
          </cell>
          <cell r="D15">
            <v>37</v>
          </cell>
          <cell r="E15">
            <v>1</v>
          </cell>
          <cell r="F15">
            <v>6</v>
          </cell>
          <cell r="G15">
            <v>0</v>
          </cell>
          <cell r="H15">
            <v>6</v>
          </cell>
          <cell r="I15">
            <v>1</v>
          </cell>
        </row>
        <row r="16">
          <cell r="A16" t="str">
            <v>9504</v>
          </cell>
          <cell r="B16">
            <v>40</v>
          </cell>
          <cell r="C16">
            <v>0</v>
          </cell>
          <cell r="D16">
            <v>43</v>
          </cell>
          <cell r="E16">
            <v>1.08</v>
          </cell>
        </row>
        <row r="17">
          <cell r="A17" t="str">
            <v>9601</v>
          </cell>
          <cell r="B17">
            <v>124</v>
          </cell>
          <cell r="C17">
            <v>0</v>
          </cell>
          <cell r="D17">
            <v>125</v>
          </cell>
          <cell r="E17">
            <v>1.01</v>
          </cell>
          <cell r="F17">
            <v>40</v>
          </cell>
          <cell r="G17">
            <v>0</v>
          </cell>
          <cell r="H17">
            <v>38</v>
          </cell>
          <cell r="I17">
            <v>0.95</v>
          </cell>
        </row>
        <row r="18">
          <cell r="A18" t="str">
            <v>9603</v>
          </cell>
          <cell r="B18">
            <v>27</v>
          </cell>
          <cell r="C18">
            <v>0</v>
          </cell>
          <cell r="D18">
            <v>27</v>
          </cell>
          <cell r="E18">
            <v>1</v>
          </cell>
        </row>
        <row r="19">
          <cell r="A19" t="str">
            <v>9604</v>
          </cell>
          <cell r="B19">
            <v>77</v>
          </cell>
          <cell r="C19">
            <v>0</v>
          </cell>
          <cell r="D19">
            <v>78</v>
          </cell>
          <cell r="E19">
            <v>1.01</v>
          </cell>
          <cell r="F19">
            <v>2</v>
          </cell>
          <cell r="G19">
            <v>0</v>
          </cell>
          <cell r="H19">
            <v>2</v>
          </cell>
          <cell r="I19">
            <v>1</v>
          </cell>
        </row>
        <row r="20">
          <cell r="A20" t="str">
            <v>9608</v>
          </cell>
          <cell r="B20">
            <v>21</v>
          </cell>
          <cell r="C20">
            <v>0</v>
          </cell>
          <cell r="D20">
            <v>21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</row>
        <row r="21">
          <cell r="A21" t="str">
            <v>9702</v>
          </cell>
          <cell r="B21">
            <v>15</v>
          </cell>
          <cell r="C21">
            <v>0</v>
          </cell>
          <cell r="D21">
            <v>15</v>
          </cell>
          <cell r="E21">
            <v>1</v>
          </cell>
          <cell r="F21">
            <v>5</v>
          </cell>
          <cell r="G21">
            <v>4</v>
          </cell>
          <cell r="H21">
            <v>0</v>
          </cell>
          <cell r="I21">
            <v>0</v>
          </cell>
        </row>
        <row r="22">
          <cell r="A22" t="str">
            <v>9704</v>
          </cell>
          <cell r="B22">
            <v>31</v>
          </cell>
          <cell r="C22">
            <v>0</v>
          </cell>
          <cell r="D22">
            <v>31</v>
          </cell>
          <cell r="E22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y Purba" refreshedDate="45954.546690740739" createdVersion="8" refreshedVersion="8" minRefreshableVersion="3" recordCount="32" xr:uid="{E02BE151-F604-3545-BFF8-FB643AD51094}">
  <cacheSource type="worksheet">
    <worksheetSource name="Table2"/>
  </cacheSource>
  <cacheFields count="7">
    <cacheField name="weights" numFmtId="43">
      <sharedItems containsMixedTypes="1" containsNumber="1" minValue="2.8653295128939827E-3" maxValue="0.21728748806112702"/>
    </cacheField>
    <cacheField name="% lapangan" numFmtId="0">
      <sharedItems containsMixedTypes="1" containsNumber="1" minValue="0.62962962962962965" maxValue="1"/>
    </cacheField>
    <cacheField name="%lapangan_weighted" numFmtId="43">
      <sharedItems containsMixedTypes="1" containsNumber="1" minValue="0" maxValue="0.21728748806112702"/>
    </cacheField>
    <cacheField name="total_belum" numFmtId="43">
      <sharedItems containsMixedTypes="1" containsNumber="1" minValue="0" maxValue="5.7306590257879542E-3"/>
    </cacheField>
    <cacheField name="kota" numFmtId="43">
      <sharedItems containsMixedTypes="1" containsNumber="1" containsInteger="1" minValue="0" maxValue="0" count="30">
        <s v="Tolikara"/>
        <s v="Puncak Jaya"/>
        <s v="Kota Jayapura"/>
        <s v="Mimika"/>
        <s v="Boven Digoel"/>
        <s v="Asmat"/>
        <s v="Supiori"/>
        <s v="Merauke"/>
        <s v="Kepulauan Yapen"/>
        <s v="Waropen"/>
        <s v="Jayawijaya"/>
        <s v="Sarmi"/>
        <s v="Mamberamo Raya"/>
        <s v="Deiyai"/>
        <s v="Kabupaten Jayapura"/>
        <s v="Keerom"/>
        <s v="Nabire"/>
        <s v="Mappi"/>
        <s v="Biak Numfor"/>
        <n v="0"/>
        <s v="Dogiyai"/>
        <s v="Paniai"/>
        <s v="Intan Jaya"/>
        <s v="Puncak"/>
        <s v="Nduga"/>
        <s v="Lanny Jaya"/>
        <s v="Mamberamo Tengah"/>
        <s v="Yalimo"/>
        <s v="Yahukimo"/>
        <s v="Pegunungan Bintang"/>
      </sharedItems>
    </cacheField>
    <cacheField name="kab_id" numFmtId="43">
      <sharedItems/>
    </cacheField>
    <cacheField name="total" numFmtId="164">
      <sharedItems containsMixedTypes="1" containsNumber="1" containsInteger="1" minValue="6" maxValue="4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.2893982808022923E-2"/>
    <n v="0.62962962962962965"/>
    <n v="8.1184336198662846E-3"/>
    <n v="4.7755491881566383E-3"/>
    <x v="0"/>
    <s v="9704"/>
    <n v="27"/>
  </r>
  <r>
    <n v="2.6743075453677174E-2"/>
    <n v="0.9464285714285714"/>
    <n v="2.5310410697230182E-2"/>
    <n v="1.432664756446992E-3"/>
    <x v="1"/>
    <s v="9608"/>
    <n v="56"/>
  </r>
  <r>
    <n v="0.13514804202483285"/>
    <n v="0.95759717314487636"/>
    <n v="0.1294173829990449"/>
    <n v="5.7306590257879542E-3"/>
    <x v="2"/>
    <s v="9471"/>
    <n v="283"/>
  </r>
  <r>
    <n v="0.12225405921680993"/>
    <n v="0.9765625"/>
    <n v="0.11938872970391595"/>
    <n v="2.8653295128939771E-3"/>
    <x v="3"/>
    <s v="9601"/>
    <n v="256"/>
  </r>
  <r>
    <n v="3.4383954154727794E-2"/>
    <n v="0.98611111111111116"/>
    <n v="3.3906399235912134E-2"/>
    <n v="4.7755491881566053E-4"/>
    <x v="4"/>
    <s v="9502"/>
    <n v="72"/>
  </r>
  <r>
    <n v="2.0534861509073542E-2"/>
    <n v="1"/>
    <n v="2.0534861509073542E-2"/>
    <n v="0"/>
    <x v="5"/>
    <s v="9504"/>
    <n v="43"/>
  </r>
  <r>
    <n v="1.3849092645654251E-2"/>
    <n v="1"/>
    <n v="1.3849092645654251E-2"/>
    <n v="0"/>
    <x v="6"/>
    <s v="9427"/>
    <n v="29"/>
  </r>
  <r>
    <n v="0.21728748806112702"/>
    <n v="1"/>
    <n v="0.21728748806112702"/>
    <n v="0"/>
    <x v="7"/>
    <s v="9501"/>
    <n v="455"/>
  </r>
  <r>
    <n v="2.387774594078319E-2"/>
    <n v="1"/>
    <n v="2.387774594078319E-2"/>
    <n v="0"/>
    <x v="8"/>
    <s v="9408"/>
    <n v="50"/>
  </r>
  <r>
    <n v="1.4326647564469915E-2"/>
    <n v="1"/>
    <n v="1.4326647564469915E-2"/>
    <n v="0"/>
    <x v="9"/>
    <s v="9426"/>
    <n v="30"/>
  </r>
  <r>
    <n v="9.0735434574976126E-3"/>
    <n v="1"/>
    <n v="9.0735434574976126E-3"/>
    <n v="0"/>
    <x v="10"/>
    <s v="9702"/>
    <n v="19"/>
  </r>
  <r>
    <n v="2.0057306590257881E-2"/>
    <n v="1"/>
    <n v="2.0057306590257881E-2"/>
    <n v="0"/>
    <x v="11"/>
    <s v="9419"/>
    <n v="42"/>
  </r>
  <r>
    <n v="2.8653295128939827E-3"/>
    <n v="1"/>
    <n v="2.8653295128939827E-3"/>
    <n v="0"/>
    <x v="12"/>
    <s v="9428"/>
    <n v="6"/>
  </r>
  <r>
    <n v="1.9579751671442217E-2"/>
    <n v="1"/>
    <n v="1.9579751671442217E-2"/>
    <n v="0"/>
    <x v="13"/>
    <s v="9603"/>
    <n v="41"/>
  </r>
  <r>
    <n v="6.0171919770773637E-2"/>
    <n v="1"/>
    <n v="6.0171919770773637E-2"/>
    <n v="0"/>
    <x v="14"/>
    <s v="9403"/>
    <n v="126"/>
  </r>
  <r>
    <n v="4.0592168099331423E-2"/>
    <n v="1"/>
    <n v="4.0592168099331423E-2"/>
    <n v="0"/>
    <x v="15"/>
    <s v="9420"/>
    <n v="85"/>
  </r>
  <r>
    <n v="0.11843361986628462"/>
    <n v="1"/>
    <n v="0.11843361986628462"/>
    <n v="0"/>
    <x v="16"/>
    <s v="9604"/>
    <n v="248"/>
  </r>
  <r>
    <n v="1.7669531996179561E-2"/>
    <n v="1"/>
    <n v="1.7669531996179561E-2"/>
    <n v="0"/>
    <x v="17"/>
    <s v="9503"/>
    <n v="37"/>
  </r>
  <r>
    <n v="9.0257879656160458E-2"/>
    <n v="1"/>
    <n v="9.0257879656160458E-2"/>
    <n v="0"/>
    <x v="18"/>
    <s v="9409"/>
    <n v="189"/>
  </r>
  <r>
    <s v=""/>
    <s v=""/>
    <s v=""/>
    <s v=""/>
    <x v="19"/>
    <s v="9500"/>
    <s v=""/>
  </r>
  <r>
    <s v=""/>
    <s v=""/>
    <s v=""/>
    <s v=""/>
    <x v="19"/>
    <s v="9600"/>
    <s v=""/>
  </r>
  <r>
    <s v=""/>
    <s v=""/>
    <s v=""/>
    <s v=""/>
    <x v="20"/>
    <s v="9602"/>
    <s v=""/>
  </r>
  <r>
    <s v=""/>
    <s v=""/>
    <s v=""/>
    <s v=""/>
    <x v="21"/>
    <s v="9605"/>
    <s v=""/>
  </r>
  <r>
    <s v=""/>
    <s v=""/>
    <s v=""/>
    <s v=""/>
    <x v="22"/>
    <s v="9606"/>
    <s v=""/>
  </r>
  <r>
    <s v=""/>
    <s v=""/>
    <s v=""/>
    <s v=""/>
    <x v="23"/>
    <s v="9607"/>
    <s v=""/>
  </r>
  <r>
    <s v=""/>
    <s v=""/>
    <s v=""/>
    <s v=""/>
    <x v="19"/>
    <s v="9700"/>
    <s v=""/>
  </r>
  <r>
    <s v=""/>
    <s v=""/>
    <s v=""/>
    <s v=""/>
    <x v="24"/>
    <s v="9701"/>
    <s v=""/>
  </r>
  <r>
    <s v=""/>
    <s v=""/>
    <s v=""/>
    <s v=""/>
    <x v="25"/>
    <s v="9703"/>
    <s v=""/>
  </r>
  <r>
    <s v=""/>
    <s v=""/>
    <n v="0"/>
    <s v=""/>
    <x v="26"/>
    <s v="9705"/>
    <s v=""/>
  </r>
  <r>
    <s v=""/>
    <s v=""/>
    <n v="0"/>
    <s v=""/>
    <x v="27"/>
    <s v="9706"/>
    <s v=""/>
  </r>
  <r>
    <s v=""/>
    <s v=""/>
    <n v="0"/>
    <s v=""/>
    <x v="28"/>
    <s v="9707"/>
    <s v=""/>
  </r>
  <r>
    <s v=""/>
    <s v=""/>
    <n v="0"/>
    <s v=""/>
    <x v="29"/>
    <s v="9708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E4F98-E71F-7846-874C-D341C202EA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1" firstHeaderRow="1" firstDataRow="1" firstDataCol="1"/>
  <pivotFields count="7">
    <pivotField showAll="0"/>
    <pivotField showAll="0"/>
    <pivotField showAll="0"/>
    <pivotField dataField="1" showAll="0"/>
    <pivotField axis="axisRow" showAll="0" measureFilter="1" sortType="descending">
      <items count="31">
        <item x="19"/>
        <item x="5"/>
        <item x="18"/>
        <item x="4"/>
        <item x="13"/>
        <item x="20"/>
        <item x="22"/>
        <item x="10"/>
        <item x="14"/>
        <item x="15"/>
        <item x="8"/>
        <item x="2"/>
        <item x="25"/>
        <item x="12"/>
        <item x="26"/>
        <item x="17"/>
        <item x="7"/>
        <item x="3"/>
        <item x="16"/>
        <item x="24"/>
        <item x="21"/>
        <item x="29"/>
        <item x="23"/>
        <item x="1"/>
        <item x="11"/>
        <item x="6"/>
        <item x="0"/>
        <item x="9"/>
        <item x="28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6">
    <i>
      <x v="11"/>
    </i>
    <i>
      <x v="26"/>
    </i>
    <i>
      <x v="17"/>
    </i>
    <i>
      <x v="23"/>
    </i>
    <i>
      <x v="3"/>
    </i>
    <i t="grand">
      <x/>
    </i>
  </rowItems>
  <colItems count="1">
    <i/>
  </colItems>
  <dataFields count="1">
    <dataField name="Sum of total_belum" fld="3" baseField="0" baseItem="0"/>
  </dataFields>
  <formats count="2">
    <format dxfId="8">
      <pivotArea collapsedLevelsAreSubtotals="1" fieldPosition="0">
        <references count="1">
          <reference field="4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E9E46-7B54-0542-B5BD-0BF1A4AA1CE0}" name="Table2" displayName="Table2" ref="A1:G33" totalsRowShown="0">
  <autoFilter ref="A1:G33" xr:uid="{B3AE9E46-7B54-0542-B5BD-0BF1A4AA1CE0}"/>
  <sortState xmlns:xlrd2="http://schemas.microsoft.com/office/spreadsheetml/2017/richdata2" ref="A2:G33">
    <sortCondition ref="B1:B33"/>
  </sortState>
  <tableColumns count="7">
    <tableColumn id="1" xr3:uid="{04B2571D-6180-C949-957B-665116E3FF17}" name="weights" dataDxfId="6">
      <calculatedColumnFormula>Sheet1!A29</calculatedColumnFormula>
    </tableColumn>
    <tableColumn id="2" xr3:uid="{32954FB5-DE1B-AB4F-A9C4-025EEB884893}" name="% lapangan" dataDxfId="5">
      <calculatedColumnFormula>Sheet1!B29</calculatedColumnFormula>
    </tableColumn>
    <tableColumn id="3" xr3:uid="{BF1FF779-DC9F-5745-A7E3-8D7898399631}" name="%lapangan_weighted" dataDxfId="4">
      <calculatedColumnFormula>Sheet1!C29</calculatedColumnFormula>
    </tableColumn>
    <tableColumn id="4" xr3:uid="{C29F9258-B3B7-1449-BC68-1EC8BBE885C9}" name="total_belum" dataDxfId="3">
      <calculatedColumnFormula>Sheet1!D29</calculatedColumnFormula>
    </tableColumn>
    <tableColumn id="5" xr3:uid="{749335D0-15C1-8C48-AFD7-30026073DA24}" name="kota" dataDxfId="2">
      <calculatedColumnFormula>Sheet1!E29</calculatedColumnFormula>
    </tableColumn>
    <tableColumn id="6" xr3:uid="{02EDD1F5-23E3-1F47-AC98-937123E529B9}" name="kab_id" dataDxfId="1">
      <calculatedColumnFormula>Sheet1!F29</calculatedColumnFormula>
    </tableColumn>
    <tableColumn id="7" xr3:uid="{01EF3F88-9C22-2C47-804A-A9BBFC7D01BA}" name="total" dataDxfId="0">
      <calculatedColumnFormula>Sheet1!G29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9"/>
  <sheetViews>
    <sheetView tabSelected="1" workbookViewId="0">
      <pane xSplit="6" ySplit="27" topLeftCell="G28" activePane="bottomRight" state="frozen"/>
      <selection pane="topRight" activeCell="G1" sqref="G1"/>
      <selection pane="bottomLeft" activeCell="A28" sqref="A28"/>
      <selection pane="bottomRight" activeCell="P45" sqref="P45"/>
    </sheetView>
  </sheetViews>
  <sheetFormatPr baseColWidth="10" defaultColWidth="8.83203125" defaultRowHeight="15" x14ac:dyDescent="0.2"/>
  <cols>
    <col min="1" max="1" width="8.5" bestFit="1" customWidth="1"/>
    <col min="2" max="2" width="11" bestFit="1" customWidth="1"/>
    <col min="3" max="3" width="9" bestFit="1" customWidth="1"/>
    <col min="4" max="4" width="10.1640625" customWidth="1"/>
    <col min="5" max="5" width="17.83203125" bestFit="1" customWidth="1"/>
    <col min="6" max="6" width="9.1640625" style="2"/>
    <col min="7" max="10" width="8.83203125" customWidth="1"/>
    <col min="11" max="11" width="10.1640625" bestFit="1" customWidth="1"/>
    <col min="15" max="34" width="8.83203125" customWidth="1"/>
  </cols>
  <sheetData>
    <row r="1" spans="1:45" s="7" customFormat="1" ht="30" customHeight="1" x14ac:dyDescent="0.2">
      <c r="F1" s="7" t="str">
        <f>IF([1]Sheet1!A1="","",[1]Sheet1!A1)</f>
        <v>name</v>
      </c>
      <c r="G1" s="18" t="str">
        <f>IF([1]Sheet1!B1="","",[1]Sheet1!B1)</f>
        <v>IMK Triwulanan 2025 - PENCACAHAN</v>
      </c>
      <c r="H1" s="18" t="str">
        <f>IF([1]Sheet1!C1="","",[1]Sheet1!C1)</f>
        <v/>
      </c>
      <c r="I1" s="18" t="str">
        <f>IF([1]Sheet1!D1="","",[1]Sheet1!D1)</f>
        <v/>
      </c>
      <c r="J1" s="18" t="str">
        <f>IF([1]Sheet1!E1="","",[1]Sheet1!E1)</f>
        <v/>
      </c>
      <c r="K1" s="18" t="str">
        <f>IF([1]Sheet1!F1="","",[1]Sheet1!F1)</f>
        <v>PENDATAAN IBS TRIWULANAN 2025</v>
      </c>
      <c r="L1" s="18"/>
      <c r="M1" s="18"/>
      <c r="N1" s="18"/>
      <c r="O1" s="18" t="str">
        <f>IF([1]Sheet1!J1="","",[1]Sheet1!J1)</f>
        <v/>
      </c>
      <c r="P1" s="18"/>
      <c r="Q1" s="18"/>
      <c r="R1" s="18"/>
      <c r="S1" s="18" t="str">
        <f>IF([1]Sheet1!N1="","",[1]Sheet1!N1)</f>
        <v/>
      </c>
      <c r="T1" s="18"/>
      <c r="U1" s="18"/>
      <c r="V1" s="18"/>
      <c r="W1" s="18" t="str">
        <f>IF([1]Sheet1!R1="","",[1]Sheet1!R1)</f>
        <v/>
      </c>
      <c r="X1" s="18" t="str">
        <f>IF([1]Sheet1!S1="","",[1]Sheet1!S1)</f>
        <v/>
      </c>
      <c r="Y1" s="18" t="str">
        <f>IF([1]Sheet1!T1="","",[1]Sheet1!T1)</f>
        <v/>
      </c>
      <c r="Z1" s="18" t="str">
        <f>IF([1]Sheet1!U1="","",[1]Sheet1!U1)</f>
        <v/>
      </c>
      <c r="AA1" s="18" t="str">
        <f>IF([1]Sheet1!V1="","",[1]Sheet1!V1)</f>
        <v/>
      </c>
      <c r="AB1" s="18" t="str">
        <f>IF([1]Sheet1!W1="","",[1]Sheet1!W1)</f>
        <v/>
      </c>
      <c r="AC1" s="18" t="str">
        <f>IF([1]Sheet1!X1="","",[1]Sheet1!X1)</f>
        <v/>
      </c>
      <c r="AD1" s="18" t="str">
        <f>IF([1]Sheet1!Y1="","",[1]Sheet1!Y1)</f>
        <v/>
      </c>
      <c r="AE1" s="18" t="str">
        <f>IF([1]Sheet1!Z1="","",[1]Sheet1!Z1)</f>
        <v/>
      </c>
      <c r="AF1" s="18" t="str">
        <f>IF([1]Sheet1!AA1="","",[1]Sheet1!AA1)</f>
        <v/>
      </c>
      <c r="AG1" s="18" t="str">
        <f>IF([1]Sheet1!AB1="","",[1]Sheet1!AB1)</f>
        <v/>
      </c>
      <c r="AH1" s="18" t="str">
        <f>IF([1]Sheet1!AC1="","",[1]Sheet1!AC1)</f>
        <v/>
      </c>
      <c r="AI1" s="18" t="str">
        <f>IF([1]Sheet1!AD1="","",[1]Sheet1!AD1)</f>
        <v/>
      </c>
      <c r="AJ1" s="18"/>
      <c r="AK1" s="18"/>
      <c r="AL1" s="18"/>
      <c r="AM1" s="18" t="str">
        <f>IF([1]Sheet1!AH1="","",[1]Sheet1!AH1)</f>
        <v/>
      </c>
      <c r="AN1" s="18"/>
      <c r="AO1" s="18"/>
      <c r="AP1" s="18"/>
      <c r="AQ1" s="7" t="str">
        <f>IF([1]Sheet1!AL1="","",[1]Sheet1!AL1)</f>
        <v/>
      </c>
      <c r="AR1" s="7" t="str">
        <f>IF([1]Sheet1!AM1="","",[1]Sheet1!AM1)</f>
        <v/>
      </c>
      <c r="AS1" s="7" t="str">
        <f>IF([1]Sheet1!AN1="","",[1]Sheet1!AN1)</f>
        <v/>
      </c>
    </row>
    <row r="2" spans="1:45" ht="48" x14ac:dyDescent="0.2">
      <c r="A2" s="7" t="s">
        <v>62</v>
      </c>
      <c r="B2" s="7" t="s">
        <v>63</v>
      </c>
      <c r="C2" s="7" t="s">
        <v>66</v>
      </c>
      <c r="D2" s="7" t="s">
        <v>64</v>
      </c>
      <c r="E2" s="7" t="s">
        <v>65</v>
      </c>
      <c r="F2" t="str">
        <f>IF([1]Sheet1!A2="","",[1]Sheet1!A2)</f>
        <v/>
      </c>
      <c r="G2" t="str">
        <f>IF([1]Sheet1!B2="","",[1]Sheet1!B2)</f>
        <v>total</v>
      </c>
      <c r="H2" t="str">
        <f>IF([1]Sheet1!C2="","",[1]Sheet1!C2)</f>
        <v>cacah</v>
      </c>
      <c r="I2" t="str">
        <f>IF([1]Sheet1!D2="","",[1]Sheet1!D2)</f>
        <v>selesai</v>
      </c>
      <c r="J2" t="str">
        <f>IF([1]Sheet1!E2="","",[1]Sheet1!E2)</f>
        <v>pct_selesai</v>
      </c>
      <c r="K2" t="str">
        <f>IF([1]Sheet1!F2="","",[1]Sheet1!F2)</f>
        <v>total</v>
      </c>
      <c r="L2" t="str">
        <f>IF([1]Sheet1!G2="","",[1]Sheet1!G2)</f>
        <v>cacah</v>
      </c>
      <c r="M2" t="str">
        <f>IF([1]Sheet1!H2="","",[1]Sheet1!H2)</f>
        <v>selesai</v>
      </c>
      <c r="N2" t="str">
        <f>IF([1]Sheet1!I2="","",[1]Sheet1!I2)</f>
        <v>pct_selesai</v>
      </c>
      <c r="O2" t="str">
        <f>IF([1]Sheet1!J2="","",[1]Sheet1!J2)</f>
        <v/>
      </c>
      <c r="P2" t="str">
        <f>IF([1]Sheet1!K2="","",[1]Sheet1!K2)</f>
        <v/>
      </c>
      <c r="Q2" t="str">
        <f>IF([1]Sheet1!L2="","",[1]Sheet1!L2)</f>
        <v/>
      </c>
      <c r="R2" t="str">
        <f>IF([1]Sheet1!M2="","",[1]Sheet1!M2)</f>
        <v/>
      </c>
      <c r="S2" t="str">
        <f>IF([1]Sheet1!N2="","",[1]Sheet1!N2)</f>
        <v/>
      </c>
      <c r="T2" t="str">
        <f>IF([1]Sheet1!O2="","",[1]Sheet1!O2)</f>
        <v/>
      </c>
      <c r="U2" t="str">
        <f>IF([1]Sheet1!P2="","",[1]Sheet1!P2)</f>
        <v/>
      </c>
      <c r="V2" t="str">
        <f>IF([1]Sheet1!Q2="","",[1]Sheet1!Q2)</f>
        <v/>
      </c>
      <c r="W2" t="str">
        <f>IF([1]Sheet1!R2="","",[1]Sheet1!R2)</f>
        <v/>
      </c>
      <c r="X2" t="str">
        <f>IF([1]Sheet1!S2="","",[1]Sheet1!S2)</f>
        <v/>
      </c>
      <c r="Y2" t="str">
        <f>IF([1]Sheet1!T2="","",[1]Sheet1!T2)</f>
        <v/>
      </c>
      <c r="Z2" t="str">
        <f>IF([1]Sheet1!U2="","",[1]Sheet1!U2)</f>
        <v/>
      </c>
      <c r="AA2" t="str">
        <f>IF([1]Sheet1!V2="","",[1]Sheet1!V2)</f>
        <v/>
      </c>
      <c r="AB2" t="str">
        <f>IF([1]Sheet1!W2="","",[1]Sheet1!W2)</f>
        <v/>
      </c>
      <c r="AC2" t="str">
        <f>IF([1]Sheet1!X2="","",[1]Sheet1!X2)</f>
        <v/>
      </c>
      <c r="AD2" t="str">
        <f>IF([1]Sheet1!Y2="","",[1]Sheet1!Y2)</f>
        <v/>
      </c>
      <c r="AE2" t="str">
        <f>IF([1]Sheet1!Z2="","",[1]Sheet1!Z2)</f>
        <v/>
      </c>
      <c r="AF2" t="str">
        <f>IF([1]Sheet1!AA2="","",[1]Sheet1!AA2)</f>
        <v/>
      </c>
      <c r="AG2" t="str">
        <f>IF([1]Sheet1!AB2="","",[1]Sheet1!AB2)</f>
        <v/>
      </c>
      <c r="AH2" t="str">
        <f>IF([1]Sheet1!AC2="","",[1]Sheet1!AC2)</f>
        <v/>
      </c>
      <c r="AI2" t="str">
        <f>IF([1]Sheet1!AD2="","",[1]Sheet1!AD2)</f>
        <v/>
      </c>
      <c r="AJ2" t="str">
        <f>IF([1]Sheet1!AE2="","",[1]Sheet1!AE2)</f>
        <v/>
      </c>
      <c r="AK2" t="str">
        <f>IF([1]Sheet1!AF2="","",[1]Sheet1!AF2)</f>
        <v/>
      </c>
      <c r="AL2" t="str">
        <f>IF([1]Sheet1!AG2="","",[1]Sheet1!AG2)</f>
        <v/>
      </c>
      <c r="AM2" t="str">
        <f>IF([1]Sheet1!AH2="","",[1]Sheet1!AH2)</f>
        <v/>
      </c>
      <c r="AN2" t="str">
        <f>IF([1]Sheet1!AI2="","",[1]Sheet1!AI2)</f>
        <v/>
      </c>
      <c r="AO2" t="str">
        <f>IF([1]Sheet1!AJ2="","",[1]Sheet1!AJ2)</f>
        <v/>
      </c>
      <c r="AP2" t="str">
        <f>IF([1]Sheet1!AK2="","",[1]Sheet1!AK2)</f>
        <v/>
      </c>
      <c r="AQ2" t="str">
        <f>IF([1]Sheet1!AL2="","",[1]Sheet1!AL2)</f>
        <v/>
      </c>
      <c r="AR2" t="str">
        <f>IF([1]Sheet1!AM2="","",[1]Sheet1!AM2)</f>
        <v/>
      </c>
      <c r="AS2" t="str">
        <f>IF([1]Sheet1!AN2="","",[1]Sheet1!AN2)</f>
        <v/>
      </c>
    </row>
    <row r="3" spans="1:45" hidden="1" x14ac:dyDescent="0.2">
      <c r="F3" t="str">
        <f>IF([1]Sheet1!A3="","",[1]Sheet1!A3)</f>
        <v>kd_kab</v>
      </c>
      <c r="G3" t="str">
        <f>IF([1]Sheet1!B3="","",[1]Sheet1!B3)</f>
        <v/>
      </c>
      <c r="H3" t="str">
        <f>IF([1]Sheet1!C3="","",[1]Sheet1!C3)</f>
        <v/>
      </c>
      <c r="I3" t="str">
        <f>IF([1]Sheet1!D3="","",[1]Sheet1!D3)</f>
        <v/>
      </c>
      <c r="J3" t="str">
        <f>IF([1]Sheet1!E3="","",[1]Sheet1!E3)</f>
        <v/>
      </c>
      <c r="K3" t="str">
        <f>IF([1]Sheet1!F3="","",[1]Sheet1!F3)</f>
        <v/>
      </c>
      <c r="L3" t="str">
        <f>IF([1]Sheet1!G3="","",[1]Sheet1!G3)</f>
        <v/>
      </c>
      <c r="M3" t="str">
        <f>IF([1]Sheet1!H3="","",[1]Sheet1!H3)</f>
        <v/>
      </c>
      <c r="N3" t="str">
        <f>IF([1]Sheet1!I3="","",[1]Sheet1!I3)</f>
        <v/>
      </c>
      <c r="O3" t="str">
        <f>IF([1]Sheet1!J3="","",[1]Sheet1!J3)</f>
        <v/>
      </c>
      <c r="P3" t="str">
        <f>IF([1]Sheet1!K3="","",[1]Sheet1!K3)</f>
        <v/>
      </c>
      <c r="Q3" t="str">
        <f>IF([1]Sheet1!L3="","",[1]Sheet1!L3)</f>
        <v/>
      </c>
      <c r="R3" t="str">
        <f>IF([1]Sheet1!M3="","",[1]Sheet1!M3)</f>
        <v/>
      </c>
      <c r="S3" t="str">
        <f>IF([1]Sheet1!N3="","",[1]Sheet1!N3)</f>
        <v/>
      </c>
      <c r="T3" t="str">
        <f>IF([1]Sheet1!O3="","",[1]Sheet1!O3)</f>
        <v/>
      </c>
      <c r="U3" t="str">
        <f>IF([1]Sheet1!P3="","",[1]Sheet1!P3)</f>
        <v/>
      </c>
      <c r="V3" t="str">
        <f>IF([1]Sheet1!Q3="","",[1]Sheet1!Q3)</f>
        <v/>
      </c>
      <c r="W3" t="str">
        <f>IF([1]Sheet1!R3="","",[1]Sheet1!R3)</f>
        <v/>
      </c>
      <c r="X3" t="str">
        <f>IF([1]Sheet1!S3="","",[1]Sheet1!S3)</f>
        <v/>
      </c>
      <c r="Y3" t="str">
        <f>IF([1]Sheet1!T3="","",[1]Sheet1!T3)</f>
        <v/>
      </c>
      <c r="Z3" t="str">
        <f>IF([1]Sheet1!U3="","",[1]Sheet1!U3)</f>
        <v/>
      </c>
      <c r="AA3" t="str">
        <f>IF([1]Sheet1!V3="","",[1]Sheet1!V3)</f>
        <v/>
      </c>
      <c r="AB3" t="str">
        <f>IF([1]Sheet1!W3="","",[1]Sheet1!W3)</f>
        <v/>
      </c>
      <c r="AC3" t="str">
        <f>IF([1]Sheet1!X3="","",[1]Sheet1!X3)</f>
        <v/>
      </c>
      <c r="AD3" t="str">
        <f>IF([1]Sheet1!Y3="","",[1]Sheet1!Y3)</f>
        <v/>
      </c>
      <c r="AE3" t="str">
        <f>IF([1]Sheet1!Z3="","",[1]Sheet1!Z3)</f>
        <v/>
      </c>
      <c r="AF3" t="str">
        <f>IF([1]Sheet1!AA3="","",[1]Sheet1!AA3)</f>
        <v/>
      </c>
      <c r="AG3" t="str">
        <f>IF([1]Sheet1!AB3="","",[1]Sheet1!AB3)</f>
        <v/>
      </c>
      <c r="AH3" t="str">
        <f>IF([1]Sheet1!AC3="","",[1]Sheet1!AC3)</f>
        <v/>
      </c>
      <c r="AI3" t="str">
        <f>IF([1]Sheet1!AD3="","",[1]Sheet1!AD3)</f>
        <v/>
      </c>
      <c r="AJ3" t="str">
        <f>IF([1]Sheet1!AE3="","",[1]Sheet1!AE3)</f>
        <v/>
      </c>
      <c r="AK3" t="str">
        <f>IF([1]Sheet1!AF3="","",[1]Sheet1!AF3)</f>
        <v/>
      </c>
      <c r="AL3" t="str">
        <f>IF([1]Sheet1!AG3="","",[1]Sheet1!AG3)</f>
        <v/>
      </c>
      <c r="AM3" t="str">
        <f>IF([1]Sheet1!AH3="","",[1]Sheet1!AH3)</f>
        <v/>
      </c>
      <c r="AN3" t="str">
        <f>IF([1]Sheet1!AI3="","",[1]Sheet1!AI3)</f>
        <v/>
      </c>
      <c r="AO3" t="str">
        <f>IF([1]Sheet1!AJ3="","",[1]Sheet1!AJ3)</f>
        <v/>
      </c>
      <c r="AP3" t="str">
        <f>IF([1]Sheet1!AK3="","",[1]Sheet1!AK3)</f>
        <v/>
      </c>
      <c r="AQ3" t="str">
        <f>IF([1]Sheet1!AL3="","",[1]Sheet1!AL3)</f>
        <v/>
      </c>
      <c r="AR3" t="str">
        <f>IF([1]Sheet1!AM3="","",[1]Sheet1!AM3)</f>
        <v/>
      </c>
      <c r="AS3" t="str">
        <f>IF([1]Sheet1!AN3="","",[1]Sheet1!AN3)</f>
        <v/>
      </c>
    </row>
    <row r="4" spans="1:45" hidden="1" x14ac:dyDescent="0.2">
      <c r="F4" t="str">
        <f>IF([1]Sheet1!A4="","",[1]Sheet1!A4)</f>
        <v>9403</v>
      </c>
      <c r="G4">
        <f>IF([1]Sheet1!B4="","",[1]Sheet1!B4)</f>
        <v>16</v>
      </c>
      <c r="H4">
        <f>IF([1]Sheet1!C4="","",[1]Sheet1!C4)</f>
        <v>0</v>
      </c>
      <c r="I4">
        <f>IF([1]Sheet1!D4="","",[1]Sheet1!D4)</f>
        <v>16</v>
      </c>
      <c r="J4">
        <f>IF([1]Sheet1!E4="","",[1]Sheet1!E4)</f>
        <v>1</v>
      </c>
      <c r="K4">
        <f>IF([1]Sheet1!F4="","",[1]Sheet1!F4)</f>
        <v>6</v>
      </c>
      <c r="L4">
        <f>IF([1]Sheet1!G4="","",[1]Sheet1!G4)</f>
        <v>0</v>
      </c>
      <c r="M4">
        <f>IF([1]Sheet1!H4="","",[1]Sheet1!H4)</f>
        <v>6</v>
      </c>
      <c r="N4">
        <f>IF([1]Sheet1!I4="","",[1]Sheet1!I4)</f>
        <v>1</v>
      </c>
      <c r="O4" t="str">
        <f>IF([1]Sheet1!J4="","",[1]Sheet1!J4)</f>
        <v/>
      </c>
      <c r="P4" t="str">
        <f>IF([1]Sheet1!K4="","",[1]Sheet1!K4)</f>
        <v/>
      </c>
      <c r="Q4" t="str">
        <f>IF([1]Sheet1!L4="","",[1]Sheet1!L4)</f>
        <v/>
      </c>
      <c r="R4" t="str">
        <f>IF([1]Sheet1!M4="","",[1]Sheet1!M4)</f>
        <v/>
      </c>
      <c r="S4" t="str">
        <f>IF([1]Sheet1!N4="","",[1]Sheet1!N4)</f>
        <v/>
      </c>
      <c r="T4" t="str">
        <f>IF([1]Sheet1!O4="","",[1]Sheet1!O4)</f>
        <v/>
      </c>
      <c r="U4" t="str">
        <f>IF([1]Sheet1!P4="","",[1]Sheet1!P4)</f>
        <v/>
      </c>
      <c r="V4" t="str">
        <f>IF([1]Sheet1!Q4="","",[1]Sheet1!Q4)</f>
        <v/>
      </c>
      <c r="W4" t="str">
        <f>IF([1]Sheet1!R4="","",[1]Sheet1!R4)</f>
        <v/>
      </c>
      <c r="X4" t="str">
        <f>IF([1]Sheet1!S4="","",[1]Sheet1!S4)</f>
        <v/>
      </c>
      <c r="Y4" t="str">
        <f>IF([1]Sheet1!T4="","",[1]Sheet1!T4)</f>
        <v/>
      </c>
      <c r="Z4" t="str">
        <f>IF([1]Sheet1!U4="","",[1]Sheet1!U4)</f>
        <v/>
      </c>
      <c r="AA4" t="str">
        <f>IF([1]Sheet1!V4="","",[1]Sheet1!V4)</f>
        <v/>
      </c>
      <c r="AB4" t="str">
        <f>IF([1]Sheet1!W4="","",[1]Sheet1!W4)</f>
        <v/>
      </c>
      <c r="AC4" t="str">
        <f>IF([1]Sheet1!X4="","",[1]Sheet1!X4)</f>
        <v/>
      </c>
      <c r="AD4" t="str">
        <f>IF([1]Sheet1!Y4="","",[1]Sheet1!Y4)</f>
        <v/>
      </c>
      <c r="AE4" t="str">
        <f>IF([1]Sheet1!Z4="","",[1]Sheet1!Z4)</f>
        <v/>
      </c>
      <c r="AF4" t="str">
        <f>IF([1]Sheet1!AA4="","",[1]Sheet1!AA4)</f>
        <v/>
      </c>
      <c r="AG4" t="str">
        <f>IF([1]Sheet1!AB4="","",[1]Sheet1!AB4)</f>
        <v/>
      </c>
      <c r="AH4" t="str">
        <f>IF([1]Sheet1!AC4="","",[1]Sheet1!AC4)</f>
        <v/>
      </c>
      <c r="AI4" t="str">
        <f>IF([1]Sheet1!AD4="","",[1]Sheet1!AD4)</f>
        <v/>
      </c>
      <c r="AJ4" t="str">
        <f>IF([1]Sheet1!AE4="","",[1]Sheet1!AE4)</f>
        <v/>
      </c>
      <c r="AK4" t="str">
        <f>IF([1]Sheet1!AF4="","",[1]Sheet1!AF4)</f>
        <v/>
      </c>
      <c r="AL4" t="str">
        <f>IF([1]Sheet1!AG4="","",[1]Sheet1!AG4)</f>
        <v/>
      </c>
      <c r="AM4" t="str">
        <f>IF([1]Sheet1!AH4="","",[1]Sheet1!AH4)</f>
        <v/>
      </c>
      <c r="AN4" t="str">
        <f>IF([1]Sheet1!AI4="","",[1]Sheet1!AI4)</f>
        <v/>
      </c>
      <c r="AO4" t="str">
        <f>IF([1]Sheet1!AJ4="","",[1]Sheet1!AJ4)</f>
        <v/>
      </c>
      <c r="AP4" t="str">
        <f>IF([1]Sheet1!AK4="","",[1]Sheet1!AK4)</f>
        <v/>
      </c>
      <c r="AQ4" t="str">
        <f>IF([1]Sheet1!AL4="","",[1]Sheet1!AL4)</f>
        <v/>
      </c>
      <c r="AR4" t="str">
        <f>IF([1]Sheet1!AM4="","",[1]Sheet1!AM4)</f>
        <v/>
      </c>
      <c r="AS4" t="str">
        <f>IF([1]Sheet1!AN4="","",[1]Sheet1!AN4)</f>
        <v/>
      </c>
    </row>
    <row r="5" spans="1:45" hidden="1" x14ac:dyDescent="0.2">
      <c r="F5" t="str">
        <f>IF([1]Sheet1!A5="","",[1]Sheet1!A5)</f>
        <v>9408</v>
      </c>
      <c r="G5">
        <f>IF([1]Sheet1!B5="","",[1]Sheet1!B5)</f>
        <v>41</v>
      </c>
      <c r="H5">
        <f>IF([1]Sheet1!C5="","",[1]Sheet1!C5)</f>
        <v>0</v>
      </c>
      <c r="I5">
        <f>IF([1]Sheet1!D5="","",[1]Sheet1!D5)</f>
        <v>41</v>
      </c>
      <c r="J5">
        <f>IF([1]Sheet1!E5="","",[1]Sheet1!E5)</f>
        <v>1</v>
      </c>
      <c r="K5">
        <f>IF([1]Sheet1!F5="","",[1]Sheet1!F5)</f>
        <v>3</v>
      </c>
      <c r="L5">
        <f>IF([1]Sheet1!G5="","",[1]Sheet1!G5)</f>
        <v>0</v>
      </c>
      <c r="M5">
        <f>IF([1]Sheet1!H5="","",[1]Sheet1!H5)</f>
        <v>3</v>
      </c>
      <c r="N5">
        <f>IF([1]Sheet1!I5="","",[1]Sheet1!I5)</f>
        <v>1</v>
      </c>
      <c r="O5" t="str">
        <f>IF([1]Sheet1!J5="","",[1]Sheet1!J5)</f>
        <v/>
      </c>
      <c r="P5" t="str">
        <f>IF([1]Sheet1!K5="","",[1]Sheet1!K5)</f>
        <v/>
      </c>
      <c r="Q5" t="str">
        <f>IF([1]Sheet1!L5="","",[1]Sheet1!L5)</f>
        <v/>
      </c>
      <c r="R5" t="str">
        <f>IF([1]Sheet1!M5="","",[1]Sheet1!M5)</f>
        <v/>
      </c>
      <c r="S5" t="str">
        <f>IF([1]Sheet1!N5="","",[1]Sheet1!N5)</f>
        <v/>
      </c>
      <c r="T5" t="str">
        <f>IF([1]Sheet1!O5="","",[1]Sheet1!O5)</f>
        <v/>
      </c>
      <c r="U5" t="str">
        <f>IF([1]Sheet1!P5="","",[1]Sheet1!P5)</f>
        <v/>
      </c>
      <c r="V5" t="str">
        <f>IF([1]Sheet1!Q5="","",[1]Sheet1!Q5)</f>
        <v/>
      </c>
      <c r="W5" t="str">
        <f>IF([1]Sheet1!R5="","",[1]Sheet1!R5)</f>
        <v/>
      </c>
      <c r="X5" t="str">
        <f>IF([1]Sheet1!S5="","",[1]Sheet1!S5)</f>
        <v/>
      </c>
      <c r="Y5" t="str">
        <f>IF([1]Sheet1!T5="","",[1]Sheet1!T5)</f>
        <v/>
      </c>
      <c r="Z5" t="str">
        <f>IF([1]Sheet1!U5="","",[1]Sheet1!U5)</f>
        <v/>
      </c>
      <c r="AA5" t="str">
        <f>IF([1]Sheet1!V5="","",[1]Sheet1!V5)</f>
        <v/>
      </c>
      <c r="AB5" t="str">
        <f>IF([1]Sheet1!W5="","",[1]Sheet1!W5)</f>
        <v/>
      </c>
      <c r="AC5" t="str">
        <f>IF([1]Sheet1!X5="","",[1]Sheet1!X5)</f>
        <v/>
      </c>
      <c r="AD5" t="str">
        <f>IF([1]Sheet1!Y5="","",[1]Sheet1!Y5)</f>
        <v/>
      </c>
      <c r="AE5" t="str">
        <f>IF([1]Sheet1!Z5="","",[1]Sheet1!Z5)</f>
        <v/>
      </c>
      <c r="AF5" t="str">
        <f>IF([1]Sheet1!AA5="","",[1]Sheet1!AA5)</f>
        <v/>
      </c>
      <c r="AG5" t="str">
        <f>IF([1]Sheet1!AB5="","",[1]Sheet1!AB5)</f>
        <v/>
      </c>
      <c r="AH5" t="str">
        <f>IF([1]Sheet1!AC5="","",[1]Sheet1!AC5)</f>
        <v/>
      </c>
      <c r="AI5" t="str">
        <f>IF([1]Sheet1!AD5="","",[1]Sheet1!AD5)</f>
        <v/>
      </c>
      <c r="AJ5" t="str">
        <f>IF([1]Sheet1!AE5="","",[1]Sheet1!AE5)</f>
        <v/>
      </c>
      <c r="AK5" t="str">
        <f>IF([1]Sheet1!AF5="","",[1]Sheet1!AF5)</f>
        <v/>
      </c>
      <c r="AL5" t="str">
        <f>IF([1]Sheet1!AG5="","",[1]Sheet1!AG5)</f>
        <v/>
      </c>
      <c r="AM5" t="str">
        <f>IF([1]Sheet1!AH5="","",[1]Sheet1!AH5)</f>
        <v/>
      </c>
      <c r="AN5" t="str">
        <f>IF([1]Sheet1!AI5="","",[1]Sheet1!AI5)</f>
        <v/>
      </c>
      <c r="AO5" t="str">
        <f>IF([1]Sheet1!AJ5="","",[1]Sheet1!AJ5)</f>
        <v/>
      </c>
      <c r="AP5" t="str">
        <f>IF([1]Sheet1!AK5="","",[1]Sheet1!AK5)</f>
        <v/>
      </c>
      <c r="AQ5" t="str">
        <f>IF([1]Sheet1!AL5="","",[1]Sheet1!AL5)</f>
        <v/>
      </c>
      <c r="AR5" t="str">
        <f>IF([1]Sheet1!AM5="","",[1]Sheet1!AM5)</f>
        <v/>
      </c>
      <c r="AS5" t="str">
        <f>IF([1]Sheet1!AN5="","",[1]Sheet1!AN5)</f>
        <v/>
      </c>
    </row>
    <row r="6" spans="1:45" hidden="1" x14ac:dyDescent="0.2">
      <c r="F6" t="str">
        <f>IF([1]Sheet1!A6="","",[1]Sheet1!A6)</f>
        <v>9409</v>
      </c>
      <c r="G6">
        <f>IF([1]Sheet1!B6="","",[1]Sheet1!B6)</f>
        <v>28</v>
      </c>
      <c r="H6">
        <f>IF([1]Sheet1!C6="","",[1]Sheet1!C6)</f>
        <v>0</v>
      </c>
      <c r="I6">
        <f>IF([1]Sheet1!D6="","",[1]Sheet1!D6)</f>
        <v>33</v>
      </c>
      <c r="J6">
        <f>IF([1]Sheet1!E6="","",[1]Sheet1!E6)</f>
        <v>1.18</v>
      </c>
      <c r="K6">
        <f>IF([1]Sheet1!F6="","",[1]Sheet1!F6)</f>
        <v>5</v>
      </c>
      <c r="L6">
        <f>IF([1]Sheet1!G6="","",[1]Sheet1!G6)</f>
        <v>0</v>
      </c>
      <c r="M6">
        <f>IF([1]Sheet1!H6="","",[1]Sheet1!H6)</f>
        <v>5</v>
      </c>
      <c r="N6">
        <f>IF([1]Sheet1!I6="","",[1]Sheet1!I6)</f>
        <v>1</v>
      </c>
      <c r="O6" t="str">
        <f>IF([1]Sheet1!J6="","",[1]Sheet1!J6)</f>
        <v/>
      </c>
      <c r="P6" t="str">
        <f>IF([1]Sheet1!K6="","",[1]Sheet1!K6)</f>
        <v/>
      </c>
      <c r="Q6" t="str">
        <f>IF([1]Sheet1!L6="","",[1]Sheet1!L6)</f>
        <v/>
      </c>
      <c r="R6" t="str">
        <f>IF([1]Sheet1!M6="","",[1]Sheet1!M6)</f>
        <v/>
      </c>
      <c r="S6" t="str">
        <f>IF([1]Sheet1!N6="","",[1]Sheet1!N6)</f>
        <v/>
      </c>
      <c r="T6" t="str">
        <f>IF([1]Sheet1!O6="","",[1]Sheet1!O6)</f>
        <v/>
      </c>
      <c r="U6" t="str">
        <f>IF([1]Sheet1!P6="","",[1]Sheet1!P6)</f>
        <v/>
      </c>
      <c r="V6" t="str">
        <f>IF([1]Sheet1!Q6="","",[1]Sheet1!Q6)</f>
        <v/>
      </c>
      <c r="W6" t="str">
        <f>IF([1]Sheet1!R6="","",[1]Sheet1!R6)</f>
        <v/>
      </c>
      <c r="X6" t="str">
        <f>IF([1]Sheet1!S6="","",[1]Sheet1!S6)</f>
        <v/>
      </c>
      <c r="Y6" t="str">
        <f>IF([1]Sheet1!T6="","",[1]Sheet1!T6)</f>
        <v/>
      </c>
      <c r="Z6" t="str">
        <f>IF([1]Sheet1!U6="","",[1]Sheet1!U6)</f>
        <v/>
      </c>
      <c r="AA6" t="str">
        <f>IF([1]Sheet1!V6="","",[1]Sheet1!V6)</f>
        <v/>
      </c>
      <c r="AB6" t="str">
        <f>IF([1]Sheet1!W6="","",[1]Sheet1!W6)</f>
        <v/>
      </c>
      <c r="AC6" t="str">
        <f>IF([1]Sheet1!X6="","",[1]Sheet1!X6)</f>
        <v/>
      </c>
      <c r="AD6" t="str">
        <f>IF([1]Sheet1!Y6="","",[1]Sheet1!Y6)</f>
        <v/>
      </c>
      <c r="AE6" t="str">
        <f>IF([1]Sheet1!Z6="","",[1]Sheet1!Z6)</f>
        <v/>
      </c>
      <c r="AF6" t="str">
        <f>IF([1]Sheet1!AA6="","",[1]Sheet1!AA6)</f>
        <v/>
      </c>
      <c r="AG6" t="str">
        <f>IF([1]Sheet1!AB6="","",[1]Sheet1!AB6)</f>
        <v/>
      </c>
      <c r="AH6" t="str">
        <f>IF([1]Sheet1!AC6="","",[1]Sheet1!AC6)</f>
        <v/>
      </c>
      <c r="AI6" t="str">
        <f>IF([1]Sheet1!AD6="","",[1]Sheet1!AD6)</f>
        <v/>
      </c>
      <c r="AJ6" t="str">
        <f>IF([1]Sheet1!AE6="","",[1]Sheet1!AE6)</f>
        <v/>
      </c>
      <c r="AK6" t="str">
        <f>IF([1]Sheet1!AF6="","",[1]Sheet1!AF6)</f>
        <v/>
      </c>
      <c r="AL6" t="str">
        <f>IF([1]Sheet1!AG6="","",[1]Sheet1!AG6)</f>
        <v/>
      </c>
      <c r="AM6" t="str">
        <f>IF([1]Sheet1!AH6="","",[1]Sheet1!AH6)</f>
        <v/>
      </c>
      <c r="AN6" t="str">
        <f>IF([1]Sheet1!AI6="","",[1]Sheet1!AI6)</f>
        <v/>
      </c>
      <c r="AO6" t="str">
        <f>IF([1]Sheet1!AJ6="","",[1]Sheet1!AJ6)</f>
        <v/>
      </c>
      <c r="AP6" t="str">
        <f>IF([1]Sheet1!AK6="","",[1]Sheet1!AK6)</f>
        <v/>
      </c>
      <c r="AQ6" t="str">
        <f>IF([1]Sheet1!AL6="","",[1]Sheet1!AL6)</f>
        <v/>
      </c>
      <c r="AR6" t="str">
        <f>IF([1]Sheet1!AM6="","",[1]Sheet1!AM6)</f>
        <v/>
      </c>
      <c r="AS6" t="str">
        <f>IF([1]Sheet1!AN6="","",[1]Sheet1!AN6)</f>
        <v/>
      </c>
    </row>
    <row r="7" spans="1:45" hidden="1" x14ac:dyDescent="0.2">
      <c r="F7" t="str">
        <f>IF([1]Sheet1!A7="","",[1]Sheet1!A7)</f>
        <v>9419</v>
      </c>
      <c r="G7">
        <f>IF([1]Sheet1!B7="","",[1]Sheet1!B7)</f>
        <v>50</v>
      </c>
      <c r="H7">
        <f>IF([1]Sheet1!C7="","",[1]Sheet1!C7)</f>
        <v>0</v>
      </c>
      <c r="I7">
        <f>IF([1]Sheet1!D7="","",[1]Sheet1!D7)</f>
        <v>50</v>
      </c>
      <c r="J7">
        <f>IF([1]Sheet1!E7="","",[1]Sheet1!E7)</f>
        <v>1</v>
      </c>
      <c r="K7" t="str">
        <f>IF([1]Sheet1!F7="","",[1]Sheet1!F7)</f>
        <v/>
      </c>
      <c r="L7" t="str">
        <f>IF([1]Sheet1!G7="","",[1]Sheet1!G7)</f>
        <v/>
      </c>
      <c r="M7" t="str">
        <f>IF([1]Sheet1!H7="","",[1]Sheet1!H7)</f>
        <v/>
      </c>
      <c r="N7" t="str">
        <f>IF([1]Sheet1!I7="","",[1]Sheet1!I7)</f>
        <v/>
      </c>
      <c r="O7" t="str">
        <f>IF([1]Sheet1!J7="","",[1]Sheet1!J7)</f>
        <v/>
      </c>
      <c r="P7" t="str">
        <f>IF([1]Sheet1!K7="","",[1]Sheet1!K7)</f>
        <v/>
      </c>
      <c r="Q7" t="str">
        <f>IF([1]Sheet1!L7="","",[1]Sheet1!L7)</f>
        <v/>
      </c>
      <c r="R7" t="str">
        <f>IF([1]Sheet1!M7="","",[1]Sheet1!M7)</f>
        <v/>
      </c>
      <c r="S7" t="str">
        <f>IF([1]Sheet1!N7="","",[1]Sheet1!N7)</f>
        <v/>
      </c>
      <c r="T7" t="str">
        <f>IF([1]Sheet1!O7="","",[1]Sheet1!O7)</f>
        <v/>
      </c>
      <c r="U7" t="str">
        <f>IF([1]Sheet1!P7="","",[1]Sheet1!P7)</f>
        <v/>
      </c>
      <c r="V7" t="str">
        <f>IF([1]Sheet1!Q7="","",[1]Sheet1!Q7)</f>
        <v/>
      </c>
      <c r="W7" t="str">
        <f>IF([1]Sheet1!R7="","",[1]Sheet1!R7)</f>
        <v/>
      </c>
      <c r="X7" t="str">
        <f>IF([1]Sheet1!S7="","",[1]Sheet1!S7)</f>
        <v/>
      </c>
      <c r="Y7" t="str">
        <f>IF([1]Sheet1!T7="","",[1]Sheet1!T7)</f>
        <v/>
      </c>
      <c r="Z7" t="str">
        <f>IF([1]Sheet1!U7="","",[1]Sheet1!U7)</f>
        <v/>
      </c>
      <c r="AA7" t="str">
        <f>IF([1]Sheet1!V7="","",[1]Sheet1!V7)</f>
        <v/>
      </c>
      <c r="AB7" t="str">
        <f>IF([1]Sheet1!W7="","",[1]Sheet1!W7)</f>
        <v/>
      </c>
      <c r="AC7" t="str">
        <f>IF([1]Sheet1!X7="","",[1]Sheet1!X7)</f>
        <v/>
      </c>
      <c r="AD7" t="str">
        <f>IF([1]Sheet1!Y7="","",[1]Sheet1!Y7)</f>
        <v/>
      </c>
      <c r="AE7" t="str">
        <f>IF([1]Sheet1!Z7="","",[1]Sheet1!Z7)</f>
        <v/>
      </c>
      <c r="AF7" t="str">
        <f>IF([1]Sheet1!AA7="","",[1]Sheet1!AA7)</f>
        <v/>
      </c>
      <c r="AG7" t="str">
        <f>IF([1]Sheet1!AB7="","",[1]Sheet1!AB7)</f>
        <v/>
      </c>
      <c r="AH7" t="str">
        <f>IF([1]Sheet1!AC7="","",[1]Sheet1!AC7)</f>
        <v/>
      </c>
      <c r="AI7" t="str">
        <f>IF([1]Sheet1!AD7="","",[1]Sheet1!AD7)</f>
        <v/>
      </c>
      <c r="AJ7" t="str">
        <f>IF([1]Sheet1!AE7="","",[1]Sheet1!AE7)</f>
        <v/>
      </c>
      <c r="AK7" t="str">
        <f>IF([1]Sheet1!AF7="","",[1]Sheet1!AF7)</f>
        <v/>
      </c>
      <c r="AL7" t="str">
        <f>IF([1]Sheet1!AG7="","",[1]Sheet1!AG7)</f>
        <v/>
      </c>
      <c r="AM7" t="str">
        <f>IF([1]Sheet1!AH7="","",[1]Sheet1!AH7)</f>
        <v/>
      </c>
      <c r="AN7" t="str">
        <f>IF([1]Sheet1!AI7="","",[1]Sheet1!AI7)</f>
        <v/>
      </c>
      <c r="AO7" t="str">
        <f>IF([1]Sheet1!AJ7="","",[1]Sheet1!AJ7)</f>
        <v/>
      </c>
      <c r="AP7" t="str">
        <f>IF([1]Sheet1!AK7="","",[1]Sheet1!AK7)</f>
        <v/>
      </c>
      <c r="AQ7" t="str">
        <f>IF([1]Sheet1!AL7="","",[1]Sheet1!AL7)</f>
        <v/>
      </c>
      <c r="AR7" t="str">
        <f>IF([1]Sheet1!AM7="","",[1]Sheet1!AM7)</f>
        <v/>
      </c>
      <c r="AS7" t="str">
        <f>IF([1]Sheet1!AN7="","",[1]Sheet1!AN7)</f>
        <v/>
      </c>
    </row>
    <row r="8" spans="1:45" hidden="1" x14ac:dyDescent="0.2">
      <c r="F8" t="str">
        <f>IF([1]Sheet1!A8="","",[1]Sheet1!A8)</f>
        <v>9420</v>
      </c>
      <c r="G8">
        <f>IF([1]Sheet1!B8="","",[1]Sheet1!B8)</f>
        <v>33</v>
      </c>
      <c r="H8">
        <f>IF([1]Sheet1!C8="","",[1]Sheet1!C8)</f>
        <v>0</v>
      </c>
      <c r="I8">
        <f>IF([1]Sheet1!D8="","",[1]Sheet1!D8)</f>
        <v>33</v>
      </c>
      <c r="J8">
        <f>IF([1]Sheet1!E8="","",[1]Sheet1!E8)</f>
        <v>1</v>
      </c>
      <c r="K8" t="str">
        <f>IF([1]Sheet1!F8="","",[1]Sheet1!F8)</f>
        <v/>
      </c>
      <c r="L8" t="str">
        <f>IF([1]Sheet1!G8="","",[1]Sheet1!G8)</f>
        <v/>
      </c>
      <c r="M8" t="str">
        <f>IF([1]Sheet1!H8="","",[1]Sheet1!H8)</f>
        <v/>
      </c>
      <c r="N8" t="str">
        <f>IF([1]Sheet1!I8="","",[1]Sheet1!I8)</f>
        <v/>
      </c>
      <c r="O8" t="str">
        <f>IF([1]Sheet1!J8="","",[1]Sheet1!J8)</f>
        <v/>
      </c>
      <c r="P8" t="str">
        <f>IF([1]Sheet1!K8="","",[1]Sheet1!K8)</f>
        <v/>
      </c>
      <c r="Q8" t="str">
        <f>IF([1]Sheet1!L8="","",[1]Sheet1!L8)</f>
        <v/>
      </c>
      <c r="R8" t="str">
        <f>IF([1]Sheet1!M8="","",[1]Sheet1!M8)</f>
        <v/>
      </c>
      <c r="S8" t="str">
        <f>IF([1]Sheet1!N8="","",[1]Sheet1!N8)</f>
        <v/>
      </c>
      <c r="T8" t="str">
        <f>IF([1]Sheet1!O8="","",[1]Sheet1!O8)</f>
        <v/>
      </c>
      <c r="U8" t="str">
        <f>IF([1]Sheet1!P8="","",[1]Sheet1!P8)</f>
        <v/>
      </c>
      <c r="V8" t="str">
        <f>IF([1]Sheet1!Q8="","",[1]Sheet1!Q8)</f>
        <v/>
      </c>
      <c r="W8" t="str">
        <f>IF([1]Sheet1!R8="","",[1]Sheet1!R8)</f>
        <v/>
      </c>
      <c r="X8" t="str">
        <f>IF([1]Sheet1!S8="","",[1]Sheet1!S8)</f>
        <v/>
      </c>
      <c r="Y8" t="str">
        <f>IF([1]Sheet1!T8="","",[1]Sheet1!T8)</f>
        <v/>
      </c>
      <c r="Z8" t="str">
        <f>IF([1]Sheet1!U8="","",[1]Sheet1!U8)</f>
        <v/>
      </c>
      <c r="AA8" t="str">
        <f>IF([1]Sheet1!V8="","",[1]Sheet1!V8)</f>
        <v/>
      </c>
      <c r="AB8" t="str">
        <f>IF([1]Sheet1!W8="","",[1]Sheet1!W8)</f>
        <v/>
      </c>
      <c r="AC8" t="str">
        <f>IF([1]Sheet1!X8="","",[1]Sheet1!X8)</f>
        <v/>
      </c>
      <c r="AD8" t="str">
        <f>IF([1]Sheet1!Y8="","",[1]Sheet1!Y8)</f>
        <v/>
      </c>
      <c r="AE8" t="str">
        <f>IF([1]Sheet1!Z8="","",[1]Sheet1!Z8)</f>
        <v/>
      </c>
      <c r="AF8" t="str">
        <f>IF([1]Sheet1!AA8="","",[1]Sheet1!AA8)</f>
        <v/>
      </c>
      <c r="AG8" t="str">
        <f>IF([1]Sheet1!AB8="","",[1]Sheet1!AB8)</f>
        <v/>
      </c>
      <c r="AH8" t="str">
        <f>IF([1]Sheet1!AC8="","",[1]Sheet1!AC8)</f>
        <v/>
      </c>
      <c r="AI8" t="str">
        <f>IF([1]Sheet1!AD8="","",[1]Sheet1!AD8)</f>
        <v/>
      </c>
      <c r="AJ8" t="str">
        <f>IF([1]Sheet1!AE8="","",[1]Sheet1!AE8)</f>
        <v/>
      </c>
      <c r="AK8" t="str">
        <f>IF([1]Sheet1!AF8="","",[1]Sheet1!AF8)</f>
        <v/>
      </c>
      <c r="AL8" t="str">
        <f>IF([1]Sheet1!AG8="","",[1]Sheet1!AG8)</f>
        <v/>
      </c>
      <c r="AM8" t="str">
        <f>IF([1]Sheet1!AH8="","",[1]Sheet1!AH8)</f>
        <v/>
      </c>
      <c r="AN8" t="str">
        <f>IF([1]Sheet1!AI8="","",[1]Sheet1!AI8)</f>
        <v/>
      </c>
      <c r="AO8" t="str">
        <f>IF([1]Sheet1!AJ8="","",[1]Sheet1!AJ8)</f>
        <v/>
      </c>
      <c r="AP8" t="str">
        <f>IF([1]Sheet1!AK8="","",[1]Sheet1!AK8)</f>
        <v/>
      </c>
      <c r="AQ8" t="str">
        <f>IF([1]Sheet1!AL8="","",[1]Sheet1!AL8)</f>
        <v/>
      </c>
      <c r="AR8" t="str">
        <f>IF([1]Sheet1!AM8="","",[1]Sheet1!AM8)</f>
        <v/>
      </c>
      <c r="AS8" t="str">
        <f>IF([1]Sheet1!AN8="","",[1]Sheet1!AN8)</f>
        <v/>
      </c>
    </row>
    <row r="9" spans="1:45" hidden="1" x14ac:dyDescent="0.2">
      <c r="F9" t="str">
        <f>IF([1]Sheet1!A9="","",[1]Sheet1!A9)</f>
        <v>9426</v>
      </c>
      <c r="G9">
        <f>IF([1]Sheet1!B9="","",[1]Sheet1!B9)</f>
        <v>10</v>
      </c>
      <c r="H9">
        <f>IF([1]Sheet1!C9="","",[1]Sheet1!C9)</f>
        <v>0</v>
      </c>
      <c r="I9">
        <f>IF([1]Sheet1!D9="","",[1]Sheet1!D9)</f>
        <v>10</v>
      </c>
      <c r="J9">
        <f>IF([1]Sheet1!E9="","",[1]Sheet1!E9)</f>
        <v>1</v>
      </c>
      <c r="K9" t="str">
        <f>IF([1]Sheet1!F9="","",[1]Sheet1!F9)</f>
        <v/>
      </c>
      <c r="L9" t="str">
        <f>IF([1]Sheet1!G9="","",[1]Sheet1!G9)</f>
        <v/>
      </c>
      <c r="M9" t="str">
        <f>IF([1]Sheet1!H9="","",[1]Sheet1!H9)</f>
        <v/>
      </c>
      <c r="N9" t="str">
        <f>IF([1]Sheet1!I9="","",[1]Sheet1!I9)</f>
        <v/>
      </c>
      <c r="O9" t="str">
        <f>IF([1]Sheet1!J9="","",[1]Sheet1!J9)</f>
        <v/>
      </c>
      <c r="P9" t="str">
        <f>IF([1]Sheet1!K9="","",[1]Sheet1!K9)</f>
        <v/>
      </c>
      <c r="Q9" t="str">
        <f>IF([1]Sheet1!L9="","",[1]Sheet1!L9)</f>
        <v/>
      </c>
      <c r="R9" t="str">
        <f>IF([1]Sheet1!M9="","",[1]Sheet1!M9)</f>
        <v/>
      </c>
      <c r="S9" t="str">
        <f>IF([1]Sheet1!N9="","",[1]Sheet1!N9)</f>
        <v/>
      </c>
      <c r="T9" t="str">
        <f>IF([1]Sheet1!O9="","",[1]Sheet1!O9)</f>
        <v/>
      </c>
      <c r="U9" t="str">
        <f>IF([1]Sheet1!P9="","",[1]Sheet1!P9)</f>
        <v/>
      </c>
      <c r="V9" t="str">
        <f>IF([1]Sheet1!Q9="","",[1]Sheet1!Q9)</f>
        <v/>
      </c>
      <c r="W9" t="str">
        <f>IF([1]Sheet1!R9="","",[1]Sheet1!R9)</f>
        <v/>
      </c>
      <c r="X9" t="str">
        <f>IF([1]Sheet1!S9="","",[1]Sheet1!S9)</f>
        <v/>
      </c>
      <c r="Y9" t="str">
        <f>IF([1]Sheet1!T9="","",[1]Sheet1!T9)</f>
        <v/>
      </c>
      <c r="Z9" t="str">
        <f>IF([1]Sheet1!U9="","",[1]Sheet1!U9)</f>
        <v/>
      </c>
      <c r="AA9" t="str">
        <f>IF([1]Sheet1!V9="","",[1]Sheet1!V9)</f>
        <v/>
      </c>
      <c r="AB9" t="str">
        <f>IF([1]Sheet1!W9="","",[1]Sheet1!W9)</f>
        <v/>
      </c>
      <c r="AC9" t="str">
        <f>IF([1]Sheet1!X9="","",[1]Sheet1!X9)</f>
        <v/>
      </c>
      <c r="AD9" t="str">
        <f>IF([1]Sheet1!Y9="","",[1]Sheet1!Y9)</f>
        <v/>
      </c>
      <c r="AE9" t="str">
        <f>IF([1]Sheet1!Z9="","",[1]Sheet1!Z9)</f>
        <v/>
      </c>
      <c r="AF9" t="str">
        <f>IF([1]Sheet1!AA9="","",[1]Sheet1!AA9)</f>
        <v/>
      </c>
      <c r="AG9" t="str">
        <f>IF([1]Sheet1!AB9="","",[1]Sheet1!AB9)</f>
        <v/>
      </c>
      <c r="AH9" t="str">
        <f>IF([1]Sheet1!AC9="","",[1]Sheet1!AC9)</f>
        <v/>
      </c>
      <c r="AI9" t="str">
        <f>IF([1]Sheet1!AD9="","",[1]Sheet1!AD9)</f>
        <v/>
      </c>
      <c r="AJ9" t="str">
        <f>IF([1]Sheet1!AE9="","",[1]Sheet1!AE9)</f>
        <v/>
      </c>
      <c r="AK9" t="str">
        <f>IF([1]Sheet1!AF9="","",[1]Sheet1!AF9)</f>
        <v/>
      </c>
      <c r="AL9" t="str">
        <f>IF([1]Sheet1!AG9="","",[1]Sheet1!AG9)</f>
        <v/>
      </c>
      <c r="AM9" t="str">
        <f>IF([1]Sheet1!AH9="","",[1]Sheet1!AH9)</f>
        <v/>
      </c>
      <c r="AN9" t="str">
        <f>IF([1]Sheet1!AI9="","",[1]Sheet1!AI9)</f>
        <v/>
      </c>
      <c r="AO9" t="str">
        <f>IF([1]Sheet1!AJ9="","",[1]Sheet1!AJ9)</f>
        <v/>
      </c>
      <c r="AP9" t="str">
        <f>IF([1]Sheet1!AK9="","",[1]Sheet1!AK9)</f>
        <v/>
      </c>
      <c r="AQ9" t="str">
        <f>IF([1]Sheet1!AL9="","",[1]Sheet1!AL9)</f>
        <v/>
      </c>
      <c r="AR9" t="str">
        <f>IF([1]Sheet1!AM9="","",[1]Sheet1!AM9)</f>
        <v/>
      </c>
      <c r="AS9" t="str">
        <f>IF([1]Sheet1!AN9="","",[1]Sheet1!AN9)</f>
        <v/>
      </c>
    </row>
    <row r="10" spans="1:45" hidden="1" x14ac:dyDescent="0.2">
      <c r="F10" t="str">
        <f>IF([1]Sheet1!A10="","",[1]Sheet1!A10)</f>
        <v>9427</v>
      </c>
      <c r="G10">
        <f>IF([1]Sheet1!B10="","",[1]Sheet1!B10)</f>
        <v>29</v>
      </c>
      <c r="H10">
        <f>IF([1]Sheet1!C10="","",[1]Sheet1!C10)</f>
        <v>0</v>
      </c>
      <c r="I10">
        <f>IF([1]Sheet1!D10="","",[1]Sheet1!D10)</f>
        <v>29</v>
      </c>
      <c r="J10">
        <f>IF([1]Sheet1!E10="","",[1]Sheet1!E10)</f>
        <v>1</v>
      </c>
      <c r="K10" t="str">
        <f>IF([1]Sheet1!F10="","",[1]Sheet1!F10)</f>
        <v/>
      </c>
      <c r="L10" t="str">
        <f>IF([1]Sheet1!G10="","",[1]Sheet1!G10)</f>
        <v/>
      </c>
      <c r="M10" t="str">
        <f>IF([1]Sheet1!H10="","",[1]Sheet1!H10)</f>
        <v/>
      </c>
      <c r="N10" t="str">
        <f>IF([1]Sheet1!I10="","",[1]Sheet1!I10)</f>
        <v/>
      </c>
      <c r="O10" t="str">
        <f>IF([1]Sheet1!J10="","",[1]Sheet1!J10)</f>
        <v/>
      </c>
      <c r="P10" t="str">
        <f>IF([1]Sheet1!K10="","",[1]Sheet1!K10)</f>
        <v/>
      </c>
      <c r="Q10" t="str">
        <f>IF([1]Sheet1!L10="","",[1]Sheet1!L10)</f>
        <v/>
      </c>
      <c r="R10" t="str">
        <f>IF([1]Sheet1!M10="","",[1]Sheet1!M10)</f>
        <v/>
      </c>
      <c r="S10" t="str">
        <f>IF([1]Sheet1!N10="","",[1]Sheet1!N10)</f>
        <v/>
      </c>
      <c r="T10" t="str">
        <f>IF([1]Sheet1!O10="","",[1]Sheet1!O10)</f>
        <v/>
      </c>
      <c r="U10" t="str">
        <f>IF([1]Sheet1!P10="","",[1]Sheet1!P10)</f>
        <v/>
      </c>
      <c r="V10" t="str">
        <f>IF([1]Sheet1!Q10="","",[1]Sheet1!Q10)</f>
        <v/>
      </c>
      <c r="W10" t="str">
        <f>IF([1]Sheet1!R10="","",[1]Sheet1!R10)</f>
        <v/>
      </c>
      <c r="X10" t="str">
        <f>IF([1]Sheet1!S10="","",[1]Sheet1!S10)</f>
        <v/>
      </c>
      <c r="Y10" t="str">
        <f>IF([1]Sheet1!T10="","",[1]Sheet1!T10)</f>
        <v/>
      </c>
      <c r="Z10" t="str">
        <f>IF([1]Sheet1!U10="","",[1]Sheet1!U10)</f>
        <v/>
      </c>
      <c r="AA10" t="str">
        <f>IF([1]Sheet1!V10="","",[1]Sheet1!V10)</f>
        <v/>
      </c>
      <c r="AB10" t="str">
        <f>IF([1]Sheet1!W10="","",[1]Sheet1!W10)</f>
        <v/>
      </c>
      <c r="AC10" t="str">
        <f>IF([1]Sheet1!X10="","",[1]Sheet1!X10)</f>
        <v/>
      </c>
      <c r="AD10" t="str">
        <f>IF([1]Sheet1!Y10="","",[1]Sheet1!Y10)</f>
        <v/>
      </c>
      <c r="AE10" t="str">
        <f>IF([1]Sheet1!Z10="","",[1]Sheet1!Z10)</f>
        <v/>
      </c>
      <c r="AF10" t="str">
        <f>IF([1]Sheet1!AA10="","",[1]Sheet1!AA10)</f>
        <v/>
      </c>
      <c r="AG10" t="str">
        <f>IF([1]Sheet1!AB10="","",[1]Sheet1!AB10)</f>
        <v/>
      </c>
      <c r="AH10" t="str">
        <f>IF([1]Sheet1!AC10="","",[1]Sheet1!AC10)</f>
        <v/>
      </c>
      <c r="AI10" t="str">
        <f>IF([1]Sheet1!AD10="","",[1]Sheet1!AD10)</f>
        <v/>
      </c>
      <c r="AJ10" t="str">
        <f>IF([1]Sheet1!AE10="","",[1]Sheet1!AE10)</f>
        <v/>
      </c>
      <c r="AK10" t="str">
        <f>IF([1]Sheet1!AF10="","",[1]Sheet1!AF10)</f>
        <v/>
      </c>
      <c r="AL10" t="str">
        <f>IF([1]Sheet1!AG10="","",[1]Sheet1!AG10)</f>
        <v/>
      </c>
      <c r="AM10" t="str">
        <f>IF([1]Sheet1!AH10="","",[1]Sheet1!AH10)</f>
        <v/>
      </c>
      <c r="AN10" t="str">
        <f>IF([1]Sheet1!AI10="","",[1]Sheet1!AI10)</f>
        <v/>
      </c>
      <c r="AO10" t="str">
        <f>IF([1]Sheet1!AJ10="","",[1]Sheet1!AJ10)</f>
        <v/>
      </c>
      <c r="AP10" t="str">
        <f>IF([1]Sheet1!AK10="","",[1]Sheet1!AK10)</f>
        <v/>
      </c>
      <c r="AQ10" t="str">
        <f>IF([1]Sheet1!AL10="","",[1]Sheet1!AL10)</f>
        <v/>
      </c>
      <c r="AR10" t="str">
        <f>IF([1]Sheet1!AM10="","",[1]Sheet1!AM10)</f>
        <v/>
      </c>
      <c r="AS10" t="str">
        <f>IF([1]Sheet1!AN10="","",[1]Sheet1!AN10)</f>
        <v/>
      </c>
    </row>
    <row r="11" spans="1:45" hidden="1" x14ac:dyDescent="0.2">
      <c r="F11" t="str">
        <f>IF([1]Sheet1!A11="","",[1]Sheet1!A11)</f>
        <v>9428</v>
      </c>
      <c r="G11">
        <f>IF([1]Sheet1!B11="","",[1]Sheet1!B11)</f>
        <v>5</v>
      </c>
      <c r="H11">
        <f>IF([1]Sheet1!C11="","",[1]Sheet1!C11)</f>
        <v>0</v>
      </c>
      <c r="I11">
        <f>IF([1]Sheet1!D11="","",[1]Sheet1!D11)</f>
        <v>5</v>
      </c>
      <c r="J11">
        <f>IF([1]Sheet1!E11="","",[1]Sheet1!E11)</f>
        <v>1</v>
      </c>
      <c r="K11" t="str">
        <f>IF([1]Sheet1!F11="","",[1]Sheet1!F11)</f>
        <v/>
      </c>
      <c r="L11" t="str">
        <f>IF([1]Sheet1!G11="","",[1]Sheet1!G11)</f>
        <v/>
      </c>
      <c r="M11" t="str">
        <f>IF([1]Sheet1!H11="","",[1]Sheet1!H11)</f>
        <v/>
      </c>
      <c r="N11" t="str">
        <f>IF([1]Sheet1!I11="","",[1]Sheet1!I11)</f>
        <v/>
      </c>
      <c r="O11" t="str">
        <f>IF([1]Sheet1!J11="","",[1]Sheet1!J11)</f>
        <v/>
      </c>
      <c r="P11" t="str">
        <f>IF([1]Sheet1!K11="","",[1]Sheet1!K11)</f>
        <v/>
      </c>
      <c r="Q11" t="str">
        <f>IF([1]Sheet1!L11="","",[1]Sheet1!L11)</f>
        <v/>
      </c>
      <c r="R11" t="str">
        <f>IF([1]Sheet1!M11="","",[1]Sheet1!M11)</f>
        <v/>
      </c>
      <c r="S11" t="str">
        <f>IF([1]Sheet1!N11="","",[1]Sheet1!N11)</f>
        <v/>
      </c>
      <c r="T11" t="str">
        <f>IF([1]Sheet1!O11="","",[1]Sheet1!O11)</f>
        <v/>
      </c>
      <c r="U11" t="str">
        <f>IF([1]Sheet1!P11="","",[1]Sheet1!P11)</f>
        <v/>
      </c>
      <c r="V11" t="str">
        <f>IF([1]Sheet1!Q11="","",[1]Sheet1!Q11)</f>
        <v/>
      </c>
      <c r="W11" t="str">
        <f>IF([1]Sheet1!R11="","",[1]Sheet1!R11)</f>
        <v/>
      </c>
      <c r="X11" t="str">
        <f>IF([1]Sheet1!S11="","",[1]Sheet1!S11)</f>
        <v/>
      </c>
      <c r="Y11" t="str">
        <f>IF([1]Sheet1!T11="","",[1]Sheet1!T11)</f>
        <v/>
      </c>
      <c r="Z11" t="str">
        <f>IF([1]Sheet1!U11="","",[1]Sheet1!U11)</f>
        <v/>
      </c>
      <c r="AA11" t="str">
        <f>IF([1]Sheet1!V11="","",[1]Sheet1!V11)</f>
        <v/>
      </c>
      <c r="AB11" t="str">
        <f>IF([1]Sheet1!W11="","",[1]Sheet1!W11)</f>
        <v/>
      </c>
      <c r="AC11" t="str">
        <f>IF([1]Sheet1!X11="","",[1]Sheet1!X11)</f>
        <v/>
      </c>
      <c r="AD11" t="str">
        <f>IF([1]Sheet1!Y11="","",[1]Sheet1!Y11)</f>
        <v/>
      </c>
      <c r="AE11" t="str">
        <f>IF([1]Sheet1!Z11="","",[1]Sheet1!Z11)</f>
        <v/>
      </c>
      <c r="AF11" t="str">
        <f>IF([1]Sheet1!AA11="","",[1]Sheet1!AA11)</f>
        <v/>
      </c>
      <c r="AG11" t="str">
        <f>IF([1]Sheet1!AB11="","",[1]Sheet1!AB11)</f>
        <v/>
      </c>
      <c r="AH11" t="str">
        <f>IF([1]Sheet1!AC11="","",[1]Sheet1!AC11)</f>
        <v/>
      </c>
      <c r="AI11" t="str">
        <f>IF([1]Sheet1!AD11="","",[1]Sheet1!AD11)</f>
        <v/>
      </c>
      <c r="AJ11" t="str">
        <f>IF([1]Sheet1!AE11="","",[1]Sheet1!AE11)</f>
        <v/>
      </c>
      <c r="AK11" t="str">
        <f>IF([1]Sheet1!AF11="","",[1]Sheet1!AF11)</f>
        <v/>
      </c>
      <c r="AL11" t="str">
        <f>IF([1]Sheet1!AG11="","",[1]Sheet1!AG11)</f>
        <v/>
      </c>
      <c r="AM11" t="str">
        <f>IF([1]Sheet1!AH11="","",[1]Sheet1!AH11)</f>
        <v/>
      </c>
      <c r="AN11" t="str">
        <f>IF([1]Sheet1!AI11="","",[1]Sheet1!AI11)</f>
        <v/>
      </c>
      <c r="AO11" t="str">
        <f>IF([1]Sheet1!AJ11="","",[1]Sheet1!AJ11)</f>
        <v/>
      </c>
      <c r="AP11" t="str">
        <f>IF([1]Sheet1!AK11="","",[1]Sheet1!AK11)</f>
        <v/>
      </c>
      <c r="AQ11" t="str">
        <f>IF([1]Sheet1!AL11="","",[1]Sheet1!AL11)</f>
        <v/>
      </c>
      <c r="AR11" t="str">
        <f>IF([1]Sheet1!AM11="","",[1]Sheet1!AM11)</f>
        <v/>
      </c>
      <c r="AS11" t="str">
        <f>IF([1]Sheet1!AN11="","",[1]Sheet1!AN11)</f>
        <v/>
      </c>
    </row>
    <row r="12" spans="1:45" hidden="1" x14ac:dyDescent="0.2">
      <c r="F12" t="str">
        <f>IF([1]Sheet1!A12="","",[1]Sheet1!A12)</f>
        <v>9471</v>
      </c>
      <c r="G12">
        <f>IF([1]Sheet1!B12="","",[1]Sheet1!B12)</f>
        <v>95</v>
      </c>
      <c r="H12">
        <f>IF([1]Sheet1!C12="","",[1]Sheet1!C12)</f>
        <v>0</v>
      </c>
      <c r="I12">
        <f>IF([1]Sheet1!D12="","",[1]Sheet1!D12)</f>
        <v>96</v>
      </c>
      <c r="J12">
        <f>IF([1]Sheet1!E12="","",[1]Sheet1!E12)</f>
        <v>1.01</v>
      </c>
      <c r="K12">
        <f>IF([1]Sheet1!F12="","",[1]Sheet1!F12)</f>
        <v>44</v>
      </c>
      <c r="L12">
        <f>IF([1]Sheet1!G12="","",[1]Sheet1!G12)</f>
        <v>0</v>
      </c>
      <c r="M12">
        <f>IF([1]Sheet1!H12="","",[1]Sheet1!H12)</f>
        <v>44</v>
      </c>
      <c r="N12">
        <f>IF([1]Sheet1!I12="","",[1]Sheet1!I12)</f>
        <v>1</v>
      </c>
      <c r="O12" t="str">
        <f>IF([1]Sheet1!J12="","",[1]Sheet1!J12)</f>
        <v/>
      </c>
      <c r="P12" t="str">
        <f>IF([1]Sheet1!K12="","",[1]Sheet1!K12)</f>
        <v/>
      </c>
      <c r="Q12" t="str">
        <f>IF([1]Sheet1!L12="","",[1]Sheet1!L12)</f>
        <v/>
      </c>
      <c r="R12" t="str">
        <f>IF([1]Sheet1!M12="","",[1]Sheet1!M12)</f>
        <v/>
      </c>
      <c r="S12" t="str">
        <f>IF([1]Sheet1!N12="","",[1]Sheet1!N12)</f>
        <v/>
      </c>
      <c r="T12" t="str">
        <f>IF([1]Sheet1!O12="","",[1]Sheet1!O12)</f>
        <v/>
      </c>
      <c r="U12" t="str">
        <f>IF([1]Sheet1!P12="","",[1]Sheet1!P12)</f>
        <v/>
      </c>
      <c r="V12" t="str">
        <f>IF([1]Sheet1!Q12="","",[1]Sheet1!Q12)</f>
        <v/>
      </c>
      <c r="W12" t="str">
        <f>IF([1]Sheet1!R12="","",[1]Sheet1!R12)</f>
        <v/>
      </c>
      <c r="X12" t="str">
        <f>IF([1]Sheet1!S12="","",[1]Sheet1!S12)</f>
        <v/>
      </c>
      <c r="Y12" t="str">
        <f>IF([1]Sheet1!T12="","",[1]Sheet1!T12)</f>
        <v/>
      </c>
      <c r="Z12" t="str">
        <f>IF([1]Sheet1!U12="","",[1]Sheet1!U12)</f>
        <v/>
      </c>
      <c r="AA12" t="str">
        <f>IF([1]Sheet1!V12="","",[1]Sheet1!V12)</f>
        <v/>
      </c>
      <c r="AB12" t="str">
        <f>IF([1]Sheet1!W12="","",[1]Sheet1!W12)</f>
        <v/>
      </c>
      <c r="AC12" t="str">
        <f>IF([1]Sheet1!X12="","",[1]Sheet1!X12)</f>
        <v/>
      </c>
      <c r="AD12" t="str">
        <f>IF([1]Sheet1!Y12="","",[1]Sheet1!Y12)</f>
        <v/>
      </c>
      <c r="AE12" t="str">
        <f>IF([1]Sheet1!Z12="","",[1]Sheet1!Z12)</f>
        <v/>
      </c>
      <c r="AF12" t="str">
        <f>IF([1]Sheet1!AA12="","",[1]Sheet1!AA12)</f>
        <v/>
      </c>
      <c r="AG12" t="str">
        <f>IF([1]Sheet1!AB12="","",[1]Sheet1!AB12)</f>
        <v/>
      </c>
      <c r="AH12" t="str">
        <f>IF([1]Sheet1!AC12="","",[1]Sheet1!AC12)</f>
        <v/>
      </c>
      <c r="AI12" t="str">
        <f>IF([1]Sheet1!AD12="","",[1]Sheet1!AD12)</f>
        <v/>
      </c>
      <c r="AJ12" t="str">
        <f>IF([1]Sheet1!AE12="","",[1]Sheet1!AE12)</f>
        <v/>
      </c>
      <c r="AK12" t="str">
        <f>IF([1]Sheet1!AF12="","",[1]Sheet1!AF12)</f>
        <v/>
      </c>
      <c r="AL12" t="str">
        <f>IF([1]Sheet1!AG12="","",[1]Sheet1!AG12)</f>
        <v/>
      </c>
      <c r="AM12" t="str">
        <f>IF([1]Sheet1!AH12="","",[1]Sheet1!AH12)</f>
        <v/>
      </c>
      <c r="AN12" t="str">
        <f>IF([1]Sheet1!AI12="","",[1]Sheet1!AI12)</f>
        <v/>
      </c>
      <c r="AO12" t="str">
        <f>IF([1]Sheet1!AJ12="","",[1]Sheet1!AJ12)</f>
        <v/>
      </c>
      <c r="AP12" t="str">
        <f>IF([1]Sheet1!AK12="","",[1]Sheet1!AK12)</f>
        <v/>
      </c>
      <c r="AQ12" t="str">
        <f>IF([1]Sheet1!AL12="","",[1]Sheet1!AL12)</f>
        <v/>
      </c>
      <c r="AR12" t="str">
        <f>IF([1]Sheet1!AM12="","",[1]Sheet1!AM12)</f>
        <v/>
      </c>
      <c r="AS12" t="str">
        <f>IF([1]Sheet1!AN12="","",[1]Sheet1!AN12)</f>
        <v/>
      </c>
    </row>
    <row r="13" spans="1:45" hidden="1" x14ac:dyDescent="0.2">
      <c r="F13" t="str">
        <f>IF([1]Sheet1!A13="","",[1]Sheet1!A13)</f>
        <v>9501</v>
      </c>
      <c r="G13">
        <f>IF([1]Sheet1!B13="","",[1]Sheet1!B13)</f>
        <v>203</v>
      </c>
      <c r="H13">
        <f>IF([1]Sheet1!C13="","",[1]Sheet1!C13)</f>
        <v>0</v>
      </c>
      <c r="I13">
        <f>IF([1]Sheet1!D13="","",[1]Sheet1!D13)</f>
        <v>202</v>
      </c>
      <c r="J13">
        <f>IF([1]Sheet1!E13="","",[1]Sheet1!E13)</f>
        <v>1</v>
      </c>
      <c r="K13">
        <f>IF([1]Sheet1!F13="","",[1]Sheet1!F13)</f>
        <v>14</v>
      </c>
      <c r="L13">
        <f>IF([1]Sheet1!G13="","",[1]Sheet1!G13)</f>
        <v>0</v>
      </c>
      <c r="M13">
        <f>IF([1]Sheet1!H13="","",[1]Sheet1!H13)</f>
        <v>14</v>
      </c>
      <c r="N13">
        <f>IF([1]Sheet1!I13="","",[1]Sheet1!I13)</f>
        <v>1</v>
      </c>
      <c r="O13" t="str">
        <f>IF([1]Sheet1!J13="","",[1]Sheet1!J13)</f>
        <v/>
      </c>
      <c r="P13" t="str">
        <f>IF([1]Sheet1!K13="","",[1]Sheet1!K13)</f>
        <v/>
      </c>
      <c r="Q13" t="str">
        <f>IF([1]Sheet1!L13="","",[1]Sheet1!L13)</f>
        <v/>
      </c>
      <c r="R13" t="str">
        <f>IF([1]Sheet1!M13="","",[1]Sheet1!M13)</f>
        <v/>
      </c>
      <c r="S13" t="str">
        <f>IF([1]Sheet1!N13="","",[1]Sheet1!N13)</f>
        <v/>
      </c>
      <c r="T13" t="str">
        <f>IF([1]Sheet1!O13="","",[1]Sheet1!O13)</f>
        <v/>
      </c>
      <c r="U13" t="str">
        <f>IF([1]Sheet1!P13="","",[1]Sheet1!P13)</f>
        <v/>
      </c>
      <c r="V13" t="str">
        <f>IF([1]Sheet1!Q13="","",[1]Sheet1!Q13)</f>
        <v/>
      </c>
      <c r="W13" t="str">
        <f>IF([1]Sheet1!R13="","",[1]Sheet1!R13)</f>
        <v/>
      </c>
      <c r="X13" t="str">
        <f>IF([1]Sheet1!S13="","",[1]Sheet1!S13)</f>
        <v/>
      </c>
      <c r="Y13" t="str">
        <f>IF([1]Sheet1!T13="","",[1]Sheet1!T13)</f>
        <v/>
      </c>
      <c r="Z13" t="str">
        <f>IF([1]Sheet1!U13="","",[1]Sheet1!U13)</f>
        <v/>
      </c>
      <c r="AA13" t="str">
        <f>IF([1]Sheet1!V13="","",[1]Sheet1!V13)</f>
        <v/>
      </c>
      <c r="AB13" t="str">
        <f>IF([1]Sheet1!W13="","",[1]Sheet1!W13)</f>
        <v/>
      </c>
      <c r="AC13" t="str">
        <f>IF([1]Sheet1!X13="","",[1]Sheet1!X13)</f>
        <v/>
      </c>
      <c r="AD13" t="str">
        <f>IF([1]Sheet1!Y13="","",[1]Sheet1!Y13)</f>
        <v/>
      </c>
      <c r="AE13" t="str">
        <f>IF([1]Sheet1!Z13="","",[1]Sheet1!Z13)</f>
        <v/>
      </c>
      <c r="AF13" t="str">
        <f>IF([1]Sheet1!AA13="","",[1]Sheet1!AA13)</f>
        <v/>
      </c>
      <c r="AG13" t="str">
        <f>IF([1]Sheet1!AB13="","",[1]Sheet1!AB13)</f>
        <v/>
      </c>
      <c r="AH13" t="str">
        <f>IF([1]Sheet1!AC13="","",[1]Sheet1!AC13)</f>
        <v/>
      </c>
      <c r="AI13" t="str">
        <f>IF([1]Sheet1!AD13="","",[1]Sheet1!AD13)</f>
        <v/>
      </c>
      <c r="AJ13" t="str">
        <f>IF([1]Sheet1!AE13="","",[1]Sheet1!AE13)</f>
        <v/>
      </c>
      <c r="AK13" t="str">
        <f>IF([1]Sheet1!AF13="","",[1]Sheet1!AF13)</f>
        <v/>
      </c>
      <c r="AL13" t="str">
        <f>IF([1]Sheet1!AG13="","",[1]Sheet1!AG13)</f>
        <v/>
      </c>
      <c r="AM13" t="str">
        <f>IF([1]Sheet1!AH13="","",[1]Sheet1!AH13)</f>
        <v/>
      </c>
      <c r="AN13" t="str">
        <f>IF([1]Sheet1!AI13="","",[1]Sheet1!AI13)</f>
        <v/>
      </c>
      <c r="AO13" t="str">
        <f>IF([1]Sheet1!AJ13="","",[1]Sheet1!AJ13)</f>
        <v/>
      </c>
      <c r="AP13" t="str">
        <f>IF([1]Sheet1!AK13="","",[1]Sheet1!AK13)</f>
        <v/>
      </c>
      <c r="AQ13" t="str">
        <f>IF([1]Sheet1!AL13="","",[1]Sheet1!AL13)</f>
        <v/>
      </c>
      <c r="AR13" t="str">
        <f>IF([1]Sheet1!AM13="","",[1]Sheet1!AM13)</f>
        <v/>
      </c>
      <c r="AS13" t="str">
        <f>IF([1]Sheet1!AN13="","",[1]Sheet1!AN13)</f>
        <v/>
      </c>
    </row>
    <row r="14" spans="1:45" hidden="1" x14ac:dyDescent="0.2">
      <c r="F14" t="str">
        <f>IF([1]Sheet1!A14="","",[1]Sheet1!A14)</f>
        <v>9502</v>
      </c>
      <c r="G14">
        <f>IF([1]Sheet1!B14="","",[1]Sheet1!B14)</f>
        <v>58</v>
      </c>
      <c r="H14">
        <f>IF([1]Sheet1!C14="","",[1]Sheet1!C14)</f>
        <v>0</v>
      </c>
      <c r="I14">
        <f>IF([1]Sheet1!D14="","",[1]Sheet1!D14)</f>
        <v>58</v>
      </c>
      <c r="J14">
        <f>IF([1]Sheet1!E14="","",[1]Sheet1!E14)</f>
        <v>1</v>
      </c>
      <c r="K14">
        <f>IF([1]Sheet1!F14="","",[1]Sheet1!F14)</f>
        <v>4</v>
      </c>
      <c r="L14">
        <f>IF([1]Sheet1!G14="","",[1]Sheet1!G14)</f>
        <v>0</v>
      </c>
      <c r="M14">
        <f>IF([1]Sheet1!H14="","",[1]Sheet1!H14)</f>
        <v>2</v>
      </c>
      <c r="N14">
        <f>IF([1]Sheet1!I14="","",[1]Sheet1!I14)</f>
        <v>0.5</v>
      </c>
      <c r="O14" t="str">
        <f>IF([1]Sheet1!J14="","",[1]Sheet1!J14)</f>
        <v/>
      </c>
      <c r="P14" t="str">
        <f>IF([1]Sheet1!K14="","",[1]Sheet1!K14)</f>
        <v/>
      </c>
      <c r="Q14" t="str">
        <f>IF([1]Sheet1!L14="","",[1]Sheet1!L14)</f>
        <v/>
      </c>
      <c r="R14" t="str">
        <f>IF([1]Sheet1!M14="","",[1]Sheet1!M14)</f>
        <v/>
      </c>
      <c r="S14" t="str">
        <f>IF([1]Sheet1!N14="","",[1]Sheet1!N14)</f>
        <v/>
      </c>
      <c r="T14" t="str">
        <f>IF([1]Sheet1!O14="","",[1]Sheet1!O14)</f>
        <v/>
      </c>
      <c r="U14" t="str">
        <f>IF([1]Sheet1!P14="","",[1]Sheet1!P14)</f>
        <v/>
      </c>
      <c r="V14" t="str">
        <f>IF([1]Sheet1!Q14="","",[1]Sheet1!Q14)</f>
        <v/>
      </c>
      <c r="W14" t="str">
        <f>IF([1]Sheet1!R14="","",[1]Sheet1!R14)</f>
        <v/>
      </c>
      <c r="X14" t="str">
        <f>IF([1]Sheet1!S14="","",[1]Sheet1!S14)</f>
        <v/>
      </c>
      <c r="Y14" t="str">
        <f>IF([1]Sheet1!T14="","",[1]Sheet1!T14)</f>
        <v/>
      </c>
      <c r="Z14" t="str">
        <f>IF([1]Sheet1!U14="","",[1]Sheet1!U14)</f>
        <v/>
      </c>
      <c r="AA14" t="str">
        <f>IF([1]Sheet1!V14="","",[1]Sheet1!V14)</f>
        <v/>
      </c>
      <c r="AB14" t="str">
        <f>IF([1]Sheet1!W14="","",[1]Sheet1!W14)</f>
        <v/>
      </c>
      <c r="AC14" t="str">
        <f>IF([1]Sheet1!X14="","",[1]Sheet1!X14)</f>
        <v/>
      </c>
      <c r="AD14" t="str">
        <f>IF([1]Sheet1!Y14="","",[1]Sheet1!Y14)</f>
        <v/>
      </c>
      <c r="AE14" t="str">
        <f>IF([1]Sheet1!Z14="","",[1]Sheet1!Z14)</f>
        <v/>
      </c>
      <c r="AF14" t="str">
        <f>IF([1]Sheet1!AA14="","",[1]Sheet1!AA14)</f>
        <v/>
      </c>
      <c r="AG14" t="str">
        <f>IF([1]Sheet1!AB14="","",[1]Sheet1!AB14)</f>
        <v/>
      </c>
      <c r="AH14" t="str">
        <f>IF([1]Sheet1!AC14="","",[1]Sheet1!AC14)</f>
        <v/>
      </c>
      <c r="AI14" t="str">
        <f>IF([1]Sheet1!AD14="","",[1]Sheet1!AD14)</f>
        <v/>
      </c>
      <c r="AJ14" t="str">
        <f>IF([1]Sheet1!AE14="","",[1]Sheet1!AE14)</f>
        <v/>
      </c>
      <c r="AK14" t="str">
        <f>IF([1]Sheet1!AF14="","",[1]Sheet1!AF14)</f>
        <v/>
      </c>
      <c r="AL14" t="str">
        <f>IF([1]Sheet1!AG14="","",[1]Sheet1!AG14)</f>
        <v/>
      </c>
      <c r="AM14" t="str">
        <f>IF([1]Sheet1!AH14="","",[1]Sheet1!AH14)</f>
        <v/>
      </c>
      <c r="AN14" t="str">
        <f>IF([1]Sheet1!AI14="","",[1]Sheet1!AI14)</f>
        <v/>
      </c>
      <c r="AO14" t="str">
        <f>IF([1]Sheet1!AJ14="","",[1]Sheet1!AJ14)</f>
        <v/>
      </c>
      <c r="AP14" t="str">
        <f>IF([1]Sheet1!AK14="","",[1]Sheet1!AK14)</f>
        <v/>
      </c>
      <c r="AQ14" t="str">
        <f>IF([1]Sheet1!AL14="","",[1]Sheet1!AL14)</f>
        <v/>
      </c>
      <c r="AR14" t="str">
        <f>IF([1]Sheet1!AM14="","",[1]Sheet1!AM14)</f>
        <v/>
      </c>
      <c r="AS14" t="str">
        <f>IF([1]Sheet1!AN14="","",[1]Sheet1!AN14)</f>
        <v/>
      </c>
    </row>
    <row r="15" spans="1:45" hidden="1" x14ac:dyDescent="0.2">
      <c r="F15" t="str">
        <f>IF([1]Sheet1!A15="","",[1]Sheet1!A15)</f>
        <v>9503</v>
      </c>
      <c r="G15">
        <f>IF([1]Sheet1!B15="","",[1]Sheet1!B15)</f>
        <v>37</v>
      </c>
      <c r="H15">
        <f>IF([1]Sheet1!C15="","",[1]Sheet1!C15)</f>
        <v>0</v>
      </c>
      <c r="I15">
        <f>IF([1]Sheet1!D15="","",[1]Sheet1!D15)</f>
        <v>37</v>
      </c>
      <c r="J15">
        <f>IF([1]Sheet1!E15="","",[1]Sheet1!E15)</f>
        <v>1</v>
      </c>
      <c r="K15">
        <f>IF([1]Sheet1!F15="","",[1]Sheet1!F15)</f>
        <v>6</v>
      </c>
      <c r="L15">
        <f>IF([1]Sheet1!G15="","",[1]Sheet1!G15)</f>
        <v>0</v>
      </c>
      <c r="M15">
        <f>IF([1]Sheet1!H15="","",[1]Sheet1!H15)</f>
        <v>6</v>
      </c>
      <c r="N15">
        <f>IF([1]Sheet1!I15="","",[1]Sheet1!I15)</f>
        <v>1</v>
      </c>
      <c r="O15" t="str">
        <f>IF([1]Sheet1!J15="","",[1]Sheet1!J15)</f>
        <v/>
      </c>
      <c r="P15" t="str">
        <f>IF([1]Sheet1!K15="","",[1]Sheet1!K15)</f>
        <v/>
      </c>
      <c r="Q15" t="str">
        <f>IF([1]Sheet1!L15="","",[1]Sheet1!L15)</f>
        <v/>
      </c>
      <c r="R15" t="str">
        <f>IF([1]Sheet1!M15="","",[1]Sheet1!M15)</f>
        <v/>
      </c>
      <c r="S15" t="str">
        <f>IF([1]Sheet1!N15="","",[1]Sheet1!N15)</f>
        <v/>
      </c>
      <c r="T15" t="str">
        <f>IF([1]Sheet1!O15="","",[1]Sheet1!O15)</f>
        <v/>
      </c>
      <c r="U15" t="str">
        <f>IF([1]Sheet1!P15="","",[1]Sheet1!P15)</f>
        <v/>
      </c>
      <c r="V15" t="str">
        <f>IF([1]Sheet1!Q15="","",[1]Sheet1!Q15)</f>
        <v/>
      </c>
      <c r="W15" t="str">
        <f>IF([1]Sheet1!R15="","",[1]Sheet1!R15)</f>
        <v/>
      </c>
      <c r="X15" t="str">
        <f>IF([1]Sheet1!S15="","",[1]Sheet1!S15)</f>
        <v/>
      </c>
      <c r="Y15" t="str">
        <f>IF([1]Sheet1!T15="","",[1]Sheet1!T15)</f>
        <v/>
      </c>
      <c r="Z15" t="str">
        <f>IF([1]Sheet1!U15="","",[1]Sheet1!U15)</f>
        <v/>
      </c>
      <c r="AA15" t="str">
        <f>IF([1]Sheet1!V15="","",[1]Sheet1!V15)</f>
        <v/>
      </c>
      <c r="AB15" t="str">
        <f>IF([1]Sheet1!W15="","",[1]Sheet1!W15)</f>
        <v/>
      </c>
      <c r="AC15" t="str">
        <f>IF([1]Sheet1!X15="","",[1]Sheet1!X15)</f>
        <v/>
      </c>
      <c r="AD15" t="str">
        <f>IF([1]Sheet1!Y15="","",[1]Sheet1!Y15)</f>
        <v/>
      </c>
      <c r="AE15" t="str">
        <f>IF([1]Sheet1!Z15="","",[1]Sheet1!Z15)</f>
        <v/>
      </c>
      <c r="AF15" t="str">
        <f>IF([1]Sheet1!AA15="","",[1]Sheet1!AA15)</f>
        <v/>
      </c>
      <c r="AG15" t="str">
        <f>IF([1]Sheet1!AB15="","",[1]Sheet1!AB15)</f>
        <v/>
      </c>
      <c r="AH15" t="str">
        <f>IF([1]Sheet1!AC15="","",[1]Sheet1!AC15)</f>
        <v/>
      </c>
      <c r="AI15" t="str">
        <f>IF([1]Sheet1!AD15="","",[1]Sheet1!AD15)</f>
        <v/>
      </c>
      <c r="AJ15" t="str">
        <f>IF([1]Sheet1!AE15="","",[1]Sheet1!AE15)</f>
        <v/>
      </c>
      <c r="AK15" t="str">
        <f>IF([1]Sheet1!AF15="","",[1]Sheet1!AF15)</f>
        <v/>
      </c>
      <c r="AL15" t="str">
        <f>IF([1]Sheet1!AG15="","",[1]Sheet1!AG15)</f>
        <v/>
      </c>
      <c r="AM15" t="str">
        <f>IF([1]Sheet1!AH15="","",[1]Sheet1!AH15)</f>
        <v/>
      </c>
      <c r="AN15" t="str">
        <f>IF([1]Sheet1!AI15="","",[1]Sheet1!AI15)</f>
        <v/>
      </c>
      <c r="AO15" t="str">
        <f>IF([1]Sheet1!AJ15="","",[1]Sheet1!AJ15)</f>
        <v/>
      </c>
      <c r="AP15" t="str">
        <f>IF([1]Sheet1!AK15="","",[1]Sheet1!AK15)</f>
        <v/>
      </c>
      <c r="AQ15" t="str">
        <f>IF([1]Sheet1!AL15="","",[1]Sheet1!AL15)</f>
        <v/>
      </c>
      <c r="AR15" t="str">
        <f>IF([1]Sheet1!AM15="","",[1]Sheet1!AM15)</f>
        <v/>
      </c>
      <c r="AS15" t="str">
        <f>IF([1]Sheet1!AN15="","",[1]Sheet1!AN15)</f>
        <v/>
      </c>
    </row>
    <row r="16" spans="1:45" hidden="1" x14ac:dyDescent="0.2">
      <c r="F16" t="str">
        <f>IF([1]Sheet1!A16="","",[1]Sheet1!A16)</f>
        <v>9504</v>
      </c>
      <c r="G16">
        <f>IF([1]Sheet1!B16="","",[1]Sheet1!B16)</f>
        <v>40</v>
      </c>
      <c r="H16">
        <f>IF([1]Sheet1!C16="","",[1]Sheet1!C16)</f>
        <v>0</v>
      </c>
      <c r="I16">
        <f>IF([1]Sheet1!D16="","",[1]Sheet1!D16)</f>
        <v>43</v>
      </c>
      <c r="J16">
        <f>IF([1]Sheet1!E16="","",[1]Sheet1!E16)</f>
        <v>1.08</v>
      </c>
      <c r="K16" t="str">
        <f>IF([1]Sheet1!F16="","",[1]Sheet1!F16)</f>
        <v/>
      </c>
      <c r="L16" t="str">
        <f>IF([1]Sheet1!G16="","",[1]Sheet1!G16)</f>
        <v/>
      </c>
      <c r="M16" t="str">
        <f>IF([1]Sheet1!H16="","",[1]Sheet1!H16)</f>
        <v/>
      </c>
      <c r="N16" t="str">
        <f>IF([1]Sheet1!I16="","",[1]Sheet1!I16)</f>
        <v/>
      </c>
      <c r="O16" t="str">
        <f>IF([1]Sheet1!J16="","",[1]Sheet1!J16)</f>
        <v/>
      </c>
      <c r="P16" t="str">
        <f>IF([1]Sheet1!K16="","",[1]Sheet1!K16)</f>
        <v/>
      </c>
      <c r="Q16" t="str">
        <f>IF([1]Sheet1!L16="","",[1]Sheet1!L16)</f>
        <v/>
      </c>
      <c r="R16" t="str">
        <f>IF([1]Sheet1!M16="","",[1]Sheet1!M16)</f>
        <v/>
      </c>
      <c r="S16" t="str">
        <f>IF([1]Sheet1!N16="","",[1]Sheet1!N16)</f>
        <v/>
      </c>
      <c r="T16" t="str">
        <f>IF([1]Sheet1!O16="","",[1]Sheet1!O16)</f>
        <v/>
      </c>
      <c r="U16" t="str">
        <f>IF([1]Sheet1!P16="","",[1]Sheet1!P16)</f>
        <v/>
      </c>
      <c r="V16" t="str">
        <f>IF([1]Sheet1!Q16="","",[1]Sheet1!Q16)</f>
        <v/>
      </c>
      <c r="W16" t="str">
        <f>IF([1]Sheet1!R16="","",[1]Sheet1!R16)</f>
        <v/>
      </c>
      <c r="X16" t="str">
        <f>IF([1]Sheet1!S16="","",[1]Sheet1!S16)</f>
        <v/>
      </c>
      <c r="Y16" t="str">
        <f>IF([1]Sheet1!T16="","",[1]Sheet1!T16)</f>
        <v/>
      </c>
      <c r="Z16" t="str">
        <f>IF([1]Sheet1!U16="","",[1]Sheet1!U16)</f>
        <v/>
      </c>
      <c r="AA16" t="str">
        <f>IF([1]Sheet1!V16="","",[1]Sheet1!V16)</f>
        <v/>
      </c>
      <c r="AB16" t="str">
        <f>IF([1]Sheet1!W16="","",[1]Sheet1!W16)</f>
        <v/>
      </c>
      <c r="AC16" t="str">
        <f>IF([1]Sheet1!X16="","",[1]Sheet1!X16)</f>
        <v/>
      </c>
      <c r="AD16" t="str">
        <f>IF([1]Sheet1!Y16="","",[1]Sheet1!Y16)</f>
        <v/>
      </c>
      <c r="AE16" t="str">
        <f>IF([1]Sheet1!Z16="","",[1]Sheet1!Z16)</f>
        <v/>
      </c>
      <c r="AF16" t="str">
        <f>IF([1]Sheet1!AA16="","",[1]Sheet1!AA16)</f>
        <v/>
      </c>
      <c r="AG16" t="str">
        <f>IF([1]Sheet1!AB16="","",[1]Sheet1!AB16)</f>
        <v/>
      </c>
      <c r="AH16" t="str">
        <f>IF([1]Sheet1!AC16="","",[1]Sheet1!AC16)</f>
        <v/>
      </c>
      <c r="AI16" t="str">
        <f>IF([1]Sheet1!AD16="","",[1]Sheet1!AD16)</f>
        <v/>
      </c>
      <c r="AJ16" t="str">
        <f>IF([1]Sheet1!AE16="","",[1]Sheet1!AE16)</f>
        <v/>
      </c>
      <c r="AK16" t="str">
        <f>IF([1]Sheet1!AF16="","",[1]Sheet1!AF16)</f>
        <v/>
      </c>
      <c r="AL16" t="str">
        <f>IF([1]Sheet1!AG16="","",[1]Sheet1!AG16)</f>
        <v/>
      </c>
      <c r="AM16" t="str">
        <f>IF([1]Sheet1!AH16="","",[1]Sheet1!AH16)</f>
        <v/>
      </c>
      <c r="AN16" t="str">
        <f>IF([1]Sheet1!AI16="","",[1]Sheet1!AI16)</f>
        <v/>
      </c>
      <c r="AO16" t="str">
        <f>IF([1]Sheet1!AJ16="","",[1]Sheet1!AJ16)</f>
        <v/>
      </c>
      <c r="AP16" t="str">
        <f>IF([1]Sheet1!AK16="","",[1]Sheet1!AK16)</f>
        <v/>
      </c>
      <c r="AQ16" t="str">
        <f>IF([1]Sheet1!AL16="","",[1]Sheet1!AL16)</f>
        <v/>
      </c>
      <c r="AR16" t="str">
        <f>IF([1]Sheet1!AM16="","",[1]Sheet1!AM16)</f>
        <v/>
      </c>
      <c r="AS16" t="str">
        <f>IF([1]Sheet1!AN16="","",[1]Sheet1!AN16)</f>
        <v/>
      </c>
    </row>
    <row r="17" spans="1:45" hidden="1" x14ac:dyDescent="0.2">
      <c r="F17" t="str">
        <f>IF([1]Sheet1!A17="","",[1]Sheet1!A17)</f>
        <v>9601</v>
      </c>
      <c r="G17">
        <f>IF([1]Sheet1!B17="","",[1]Sheet1!B17)</f>
        <v>124</v>
      </c>
      <c r="H17">
        <f>IF([1]Sheet1!C17="","",[1]Sheet1!C17)</f>
        <v>0</v>
      </c>
      <c r="I17">
        <f>IF([1]Sheet1!D17="","",[1]Sheet1!D17)</f>
        <v>125</v>
      </c>
      <c r="J17">
        <f>IF([1]Sheet1!E17="","",[1]Sheet1!E17)</f>
        <v>1.01</v>
      </c>
      <c r="K17">
        <f>IF([1]Sheet1!F17="","",[1]Sheet1!F17)</f>
        <v>40</v>
      </c>
      <c r="L17">
        <f>IF([1]Sheet1!G17="","",[1]Sheet1!G17)</f>
        <v>0</v>
      </c>
      <c r="M17">
        <f>IF([1]Sheet1!H17="","",[1]Sheet1!H17)</f>
        <v>38</v>
      </c>
      <c r="N17">
        <f>IF([1]Sheet1!I17="","",[1]Sheet1!I17)</f>
        <v>0.95</v>
      </c>
      <c r="O17" t="str">
        <f>IF([1]Sheet1!J17="","",[1]Sheet1!J17)</f>
        <v/>
      </c>
      <c r="P17" t="str">
        <f>IF([1]Sheet1!K17="","",[1]Sheet1!K17)</f>
        <v/>
      </c>
      <c r="Q17" t="str">
        <f>IF([1]Sheet1!L17="","",[1]Sheet1!L17)</f>
        <v/>
      </c>
      <c r="R17" t="str">
        <f>IF([1]Sheet1!M17="","",[1]Sheet1!M17)</f>
        <v/>
      </c>
      <c r="S17" t="str">
        <f>IF([1]Sheet1!N17="","",[1]Sheet1!N17)</f>
        <v/>
      </c>
      <c r="T17" t="str">
        <f>IF([1]Sheet1!O17="","",[1]Sheet1!O17)</f>
        <v/>
      </c>
      <c r="U17" t="str">
        <f>IF([1]Sheet1!P17="","",[1]Sheet1!P17)</f>
        <v/>
      </c>
      <c r="V17" t="str">
        <f>IF([1]Sheet1!Q17="","",[1]Sheet1!Q17)</f>
        <v/>
      </c>
      <c r="W17" t="str">
        <f>IF([1]Sheet1!R17="","",[1]Sheet1!R17)</f>
        <v/>
      </c>
      <c r="X17" t="str">
        <f>IF([1]Sheet1!S17="","",[1]Sheet1!S17)</f>
        <v/>
      </c>
      <c r="Y17" t="str">
        <f>IF([1]Sheet1!T17="","",[1]Sheet1!T17)</f>
        <v/>
      </c>
      <c r="Z17" t="str">
        <f>IF([1]Sheet1!U17="","",[1]Sheet1!U17)</f>
        <v/>
      </c>
      <c r="AA17" t="str">
        <f>IF([1]Sheet1!V17="","",[1]Sheet1!V17)</f>
        <v/>
      </c>
      <c r="AB17" t="str">
        <f>IF([1]Sheet1!W17="","",[1]Sheet1!W17)</f>
        <v/>
      </c>
      <c r="AC17" t="str">
        <f>IF([1]Sheet1!X17="","",[1]Sheet1!X17)</f>
        <v/>
      </c>
      <c r="AD17" t="str">
        <f>IF([1]Sheet1!Y17="","",[1]Sheet1!Y17)</f>
        <v/>
      </c>
      <c r="AE17" t="str">
        <f>IF([1]Sheet1!Z17="","",[1]Sheet1!Z17)</f>
        <v/>
      </c>
      <c r="AF17" t="str">
        <f>IF([1]Sheet1!AA17="","",[1]Sheet1!AA17)</f>
        <v/>
      </c>
      <c r="AG17" t="str">
        <f>IF([1]Sheet1!AB17="","",[1]Sheet1!AB17)</f>
        <v/>
      </c>
      <c r="AH17" t="str">
        <f>IF([1]Sheet1!AC17="","",[1]Sheet1!AC17)</f>
        <v/>
      </c>
      <c r="AI17" t="str">
        <f>IF([1]Sheet1!AD17="","",[1]Sheet1!AD17)</f>
        <v/>
      </c>
      <c r="AJ17" t="str">
        <f>IF([1]Sheet1!AE17="","",[1]Sheet1!AE17)</f>
        <v/>
      </c>
      <c r="AK17" t="str">
        <f>IF([1]Sheet1!AF17="","",[1]Sheet1!AF17)</f>
        <v/>
      </c>
      <c r="AL17" t="str">
        <f>IF([1]Sheet1!AG17="","",[1]Sheet1!AG17)</f>
        <v/>
      </c>
      <c r="AM17" t="str">
        <f>IF([1]Sheet1!AH17="","",[1]Sheet1!AH17)</f>
        <v/>
      </c>
      <c r="AN17" t="str">
        <f>IF([1]Sheet1!AI17="","",[1]Sheet1!AI17)</f>
        <v/>
      </c>
      <c r="AO17" t="str">
        <f>IF([1]Sheet1!AJ17="","",[1]Sheet1!AJ17)</f>
        <v/>
      </c>
      <c r="AP17" t="str">
        <f>IF([1]Sheet1!AK17="","",[1]Sheet1!AK17)</f>
        <v/>
      </c>
      <c r="AQ17" t="str">
        <f>IF([1]Sheet1!AL17="","",[1]Sheet1!AL17)</f>
        <v/>
      </c>
      <c r="AR17" t="str">
        <f>IF([1]Sheet1!AM17="","",[1]Sheet1!AM17)</f>
        <v/>
      </c>
      <c r="AS17" t="str">
        <f>IF([1]Sheet1!AN17="","",[1]Sheet1!AN17)</f>
        <v/>
      </c>
    </row>
    <row r="18" spans="1:45" hidden="1" x14ac:dyDescent="0.2">
      <c r="F18" t="str">
        <f>IF([1]Sheet1!A18="","",[1]Sheet1!A18)</f>
        <v>9603</v>
      </c>
      <c r="G18">
        <f>IF([1]Sheet1!B18="","",[1]Sheet1!B18)</f>
        <v>27</v>
      </c>
      <c r="H18">
        <f>IF([1]Sheet1!C18="","",[1]Sheet1!C18)</f>
        <v>0</v>
      </c>
      <c r="I18">
        <f>IF([1]Sheet1!D18="","",[1]Sheet1!D18)</f>
        <v>27</v>
      </c>
      <c r="J18">
        <f>IF([1]Sheet1!E18="","",[1]Sheet1!E18)</f>
        <v>1</v>
      </c>
      <c r="K18" t="str">
        <f>IF([1]Sheet1!F18="","",[1]Sheet1!F18)</f>
        <v/>
      </c>
      <c r="L18" t="str">
        <f>IF([1]Sheet1!G18="","",[1]Sheet1!G18)</f>
        <v/>
      </c>
      <c r="M18" t="str">
        <f>IF([1]Sheet1!H18="","",[1]Sheet1!H18)</f>
        <v/>
      </c>
      <c r="N18" t="str">
        <f>IF([1]Sheet1!I18="","",[1]Sheet1!I18)</f>
        <v/>
      </c>
      <c r="O18" t="str">
        <f>IF([1]Sheet1!J18="","",[1]Sheet1!J18)</f>
        <v/>
      </c>
      <c r="P18" t="str">
        <f>IF([1]Sheet1!K18="","",[1]Sheet1!K18)</f>
        <v/>
      </c>
      <c r="Q18" t="str">
        <f>IF([1]Sheet1!L18="","",[1]Sheet1!L18)</f>
        <v/>
      </c>
      <c r="R18" t="str">
        <f>IF([1]Sheet1!M18="","",[1]Sheet1!M18)</f>
        <v/>
      </c>
      <c r="S18" t="str">
        <f>IF([1]Sheet1!N18="","",[1]Sheet1!N18)</f>
        <v/>
      </c>
      <c r="T18" t="str">
        <f>IF([1]Sheet1!O18="","",[1]Sheet1!O18)</f>
        <v/>
      </c>
      <c r="U18" t="str">
        <f>IF([1]Sheet1!P18="","",[1]Sheet1!P18)</f>
        <v/>
      </c>
      <c r="V18" t="str">
        <f>IF([1]Sheet1!Q18="","",[1]Sheet1!Q18)</f>
        <v/>
      </c>
      <c r="W18" t="str">
        <f>IF([1]Sheet1!R18="","",[1]Sheet1!R18)</f>
        <v/>
      </c>
      <c r="X18" t="str">
        <f>IF([1]Sheet1!S18="","",[1]Sheet1!S18)</f>
        <v/>
      </c>
      <c r="Y18" t="str">
        <f>IF([1]Sheet1!T18="","",[1]Sheet1!T18)</f>
        <v/>
      </c>
      <c r="Z18" t="str">
        <f>IF([1]Sheet1!U18="","",[1]Sheet1!U18)</f>
        <v/>
      </c>
      <c r="AA18" t="str">
        <f>IF([1]Sheet1!V18="","",[1]Sheet1!V18)</f>
        <v/>
      </c>
      <c r="AB18" t="str">
        <f>IF([1]Sheet1!W18="","",[1]Sheet1!W18)</f>
        <v/>
      </c>
      <c r="AC18" t="str">
        <f>IF([1]Sheet1!X18="","",[1]Sheet1!X18)</f>
        <v/>
      </c>
      <c r="AD18" t="str">
        <f>IF([1]Sheet1!Y18="","",[1]Sheet1!Y18)</f>
        <v/>
      </c>
      <c r="AE18" t="str">
        <f>IF([1]Sheet1!Z18="","",[1]Sheet1!Z18)</f>
        <v/>
      </c>
      <c r="AF18" t="str">
        <f>IF([1]Sheet1!AA18="","",[1]Sheet1!AA18)</f>
        <v/>
      </c>
      <c r="AG18" t="str">
        <f>IF([1]Sheet1!AB18="","",[1]Sheet1!AB18)</f>
        <v/>
      </c>
      <c r="AH18" t="str">
        <f>IF([1]Sheet1!AC18="","",[1]Sheet1!AC18)</f>
        <v/>
      </c>
      <c r="AI18" t="str">
        <f>IF([1]Sheet1!AD18="","",[1]Sheet1!AD18)</f>
        <v/>
      </c>
      <c r="AJ18" t="str">
        <f>IF([1]Sheet1!AE18="","",[1]Sheet1!AE18)</f>
        <v/>
      </c>
      <c r="AK18" t="str">
        <f>IF([1]Sheet1!AF18="","",[1]Sheet1!AF18)</f>
        <v/>
      </c>
      <c r="AL18" t="str">
        <f>IF([1]Sheet1!AG18="","",[1]Sheet1!AG18)</f>
        <v/>
      </c>
      <c r="AM18" t="str">
        <f>IF([1]Sheet1!AH18="","",[1]Sheet1!AH18)</f>
        <v/>
      </c>
      <c r="AN18" t="str">
        <f>IF([1]Sheet1!AI18="","",[1]Sheet1!AI18)</f>
        <v/>
      </c>
      <c r="AO18" t="str">
        <f>IF([1]Sheet1!AJ18="","",[1]Sheet1!AJ18)</f>
        <v/>
      </c>
      <c r="AP18" t="str">
        <f>IF([1]Sheet1!AK18="","",[1]Sheet1!AK18)</f>
        <v/>
      </c>
      <c r="AQ18" t="str">
        <f>IF([1]Sheet1!AL18="","",[1]Sheet1!AL18)</f>
        <v/>
      </c>
      <c r="AR18" t="str">
        <f>IF([1]Sheet1!AM18="","",[1]Sheet1!AM18)</f>
        <v/>
      </c>
      <c r="AS18" t="str">
        <f>IF([1]Sheet1!AN18="","",[1]Sheet1!AN18)</f>
        <v/>
      </c>
    </row>
    <row r="19" spans="1:45" hidden="1" x14ac:dyDescent="0.2">
      <c r="F19" t="str">
        <f>IF([1]Sheet1!A19="","",[1]Sheet1!A19)</f>
        <v>9604</v>
      </c>
      <c r="G19">
        <f>IF([1]Sheet1!B19="","",[1]Sheet1!B19)</f>
        <v>77</v>
      </c>
      <c r="H19">
        <f>IF([1]Sheet1!C19="","",[1]Sheet1!C19)</f>
        <v>0</v>
      </c>
      <c r="I19">
        <f>IF([1]Sheet1!D19="","",[1]Sheet1!D19)</f>
        <v>78</v>
      </c>
      <c r="J19">
        <f>IF([1]Sheet1!E19="","",[1]Sheet1!E19)</f>
        <v>1.01</v>
      </c>
      <c r="K19">
        <f>IF([1]Sheet1!F19="","",[1]Sheet1!F19)</f>
        <v>2</v>
      </c>
      <c r="L19">
        <f>IF([1]Sheet1!G19="","",[1]Sheet1!G19)</f>
        <v>0</v>
      </c>
      <c r="M19">
        <f>IF([1]Sheet1!H19="","",[1]Sheet1!H19)</f>
        <v>2</v>
      </c>
      <c r="N19">
        <f>IF([1]Sheet1!I19="","",[1]Sheet1!I19)</f>
        <v>1</v>
      </c>
      <c r="O19" t="str">
        <f>IF([1]Sheet1!J19="","",[1]Sheet1!J19)</f>
        <v/>
      </c>
      <c r="P19" t="str">
        <f>IF([1]Sheet1!K19="","",[1]Sheet1!K19)</f>
        <v/>
      </c>
      <c r="Q19" t="str">
        <f>IF([1]Sheet1!L19="","",[1]Sheet1!L19)</f>
        <v/>
      </c>
      <c r="R19" t="str">
        <f>IF([1]Sheet1!M19="","",[1]Sheet1!M19)</f>
        <v/>
      </c>
      <c r="S19" t="str">
        <f>IF([1]Sheet1!N19="","",[1]Sheet1!N19)</f>
        <v/>
      </c>
      <c r="T19" t="str">
        <f>IF([1]Sheet1!O19="","",[1]Sheet1!O19)</f>
        <v/>
      </c>
      <c r="U19" t="str">
        <f>IF([1]Sheet1!P19="","",[1]Sheet1!P19)</f>
        <v/>
      </c>
      <c r="V19" t="str">
        <f>IF([1]Sheet1!Q19="","",[1]Sheet1!Q19)</f>
        <v/>
      </c>
      <c r="W19" t="str">
        <f>IF([1]Sheet1!R19="","",[1]Sheet1!R19)</f>
        <v/>
      </c>
      <c r="X19" t="str">
        <f>IF([1]Sheet1!S19="","",[1]Sheet1!S19)</f>
        <v/>
      </c>
      <c r="Y19" t="str">
        <f>IF([1]Sheet1!T19="","",[1]Sheet1!T19)</f>
        <v/>
      </c>
      <c r="Z19" t="str">
        <f>IF([1]Sheet1!U19="","",[1]Sheet1!U19)</f>
        <v/>
      </c>
      <c r="AA19" t="str">
        <f>IF([1]Sheet1!V19="","",[1]Sheet1!V19)</f>
        <v/>
      </c>
      <c r="AB19" t="str">
        <f>IF([1]Sheet1!W19="","",[1]Sheet1!W19)</f>
        <v/>
      </c>
      <c r="AC19" t="str">
        <f>IF([1]Sheet1!X19="","",[1]Sheet1!X19)</f>
        <v/>
      </c>
      <c r="AD19" t="str">
        <f>IF([1]Sheet1!Y19="","",[1]Sheet1!Y19)</f>
        <v/>
      </c>
      <c r="AE19" t="str">
        <f>IF([1]Sheet1!Z19="","",[1]Sheet1!Z19)</f>
        <v/>
      </c>
      <c r="AF19" t="str">
        <f>IF([1]Sheet1!AA19="","",[1]Sheet1!AA19)</f>
        <v/>
      </c>
      <c r="AG19" t="str">
        <f>IF([1]Sheet1!AB19="","",[1]Sheet1!AB19)</f>
        <v/>
      </c>
      <c r="AH19" t="str">
        <f>IF([1]Sheet1!AC19="","",[1]Sheet1!AC19)</f>
        <v/>
      </c>
      <c r="AI19" t="str">
        <f>IF([1]Sheet1!AD19="","",[1]Sheet1!AD19)</f>
        <v/>
      </c>
      <c r="AJ19" t="str">
        <f>IF([1]Sheet1!AE19="","",[1]Sheet1!AE19)</f>
        <v/>
      </c>
      <c r="AK19" t="str">
        <f>IF([1]Sheet1!AF19="","",[1]Sheet1!AF19)</f>
        <v/>
      </c>
      <c r="AL19" t="str">
        <f>IF([1]Sheet1!AG19="","",[1]Sheet1!AG19)</f>
        <v/>
      </c>
      <c r="AM19" t="str">
        <f>IF([1]Sheet1!AH19="","",[1]Sheet1!AH19)</f>
        <v/>
      </c>
      <c r="AN19" t="str">
        <f>IF([1]Sheet1!AI19="","",[1]Sheet1!AI19)</f>
        <v/>
      </c>
      <c r="AO19" t="str">
        <f>IF([1]Sheet1!AJ19="","",[1]Sheet1!AJ19)</f>
        <v/>
      </c>
      <c r="AP19" t="str">
        <f>IF([1]Sheet1!AK19="","",[1]Sheet1!AK19)</f>
        <v/>
      </c>
      <c r="AQ19" t="str">
        <f>IF([1]Sheet1!AL19="","",[1]Sheet1!AL19)</f>
        <v/>
      </c>
      <c r="AR19" t="str">
        <f>IF([1]Sheet1!AM19="","",[1]Sheet1!AM19)</f>
        <v/>
      </c>
      <c r="AS19" t="str">
        <f>IF([1]Sheet1!AN19="","",[1]Sheet1!AN19)</f>
        <v/>
      </c>
    </row>
    <row r="20" spans="1:45" hidden="1" x14ac:dyDescent="0.2">
      <c r="F20" t="str">
        <f>IF([1]Sheet1!A20="","",[1]Sheet1!A20)</f>
        <v>9608</v>
      </c>
      <c r="G20">
        <f>IF([1]Sheet1!B20="","",[1]Sheet1!B20)</f>
        <v>21</v>
      </c>
      <c r="H20">
        <f>IF([1]Sheet1!C20="","",[1]Sheet1!C20)</f>
        <v>0</v>
      </c>
      <c r="I20">
        <f>IF([1]Sheet1!D20="","",[1]Sheet1!D20)</f>
        <v>21</v>
      </c>
      <c r="J20">
        <f>IF([1]Sheet1!E20="","",[1]Sheet1!E20)</f>
        <v>1</v>
      </c>
      <c r="K20">
        <f>IF([1]Sheet1!F20="","",[1]Sheet1!F20)</f>
        <v>1</v>
      </c>
      <c r="L20">
        <f>IF([1]Sheet1!G20="","",[1]Sheet1!G20)</f>
        <v>0</v>
      </c>
      <c r="M20">
        <f>IF([1]Sheet1!H20="","",[1]Sheet1!H20)</f>
        <v>1</v>
      </c>
      <c r="N20">
        <f>IF([1]Sheet1!I20="","",[1]Sheet1!I20)</f>
        <v>1</v>
      </c>
      <c r="O20" t="str">
        <f>IF([1]Sheet1!J20="","",[1]Sheet1!J20)</f>
        <v/>
      </c>
      <c r="P20" t="str">
        <f>IF([1]Sheet1!K20="","",[1]Sheet1!K20)</f>
        <v/>
      </c>
      <c r="Q20" t="str">
        <f>IF([1]Sheet1!L20="","",[1]Sheet1!L20)</f>
        <v/>
      </c>
      <c r="R20" t="str">
        <f>IF([1]Sheet1!M20="","",[1]Sheet1!M20)</f>
        <v/>
      </c>
      <c r="S20" t="str">
        <f>IF([1]Sheet1!N20="","",[1]Sheet1!N20)</f>
        <v/>
      </c>
      <c r="T20" t="str">
        <f>IF([1]Sheet1!O20="","",[1]Sheet1!O20)</f>
        <v/>
      </c>
      <c r="U20" t="str">
        <f>IF([1]Sheet1!P20="","",[1]Sheet1!P20)</f>
        <v/>
      </c>
      <c r="V20" t="str">
        <f>IF([1]Sheet1!Q20="","",[1]Sheet1!Q20)</f>
        <v/>
      </c>
      <c r="W20" t="str">
        <f>IF([1]Sheet1!R20="","",[1]Sheet1!R20)</f>
        <v/>
      </c>
      <c r="X20" t="str">
        <f>IF([1]Sheet1!S20="","",[1]Sheet1!S20)</f>
        <v/>
      </c>
      <c r="Y20" t="str">
        <f>IF([1]Sheet1!T20="","",[1]Sheet1!T20)</f>
        <v/>
      </c>
      <c r="Z20" t="str">
        <f>IF([1]Sheet1!U20="","",[1]Sheet1!U20)</f>
        <v/>
      </c>
      <c r="AA20" t="str">
        <f>IF([1]Sheet1!V20="","",[1]Sheet1!V20)</f>
        <v/>
      </c>
      <c r="AB20" t="str">
        <f>IF([1]Sheet1!W20="","",[1]Sheet1!W20)</f>
        <v/>
      </c>
      <c r="AC20" t="str">
        <f>IF([1]Sheet1!X20="","",[1]Sheet1!X20)</f>
        <v/>
      </c>
      <c r="AD20" t="str">
        <f>IF([1]Sheet1!Y20="","",[1]Sheet1!Y20)</f>
        <v/>
      </c>
      <c r="AE20" t="str">
        <f>IF([1]Sheet1!Z20="","",[1]Sheet1!Z20)</f>
        <v/>
      </c>
      <c r="AF20" t="str">
        <f>IF([1]Sheet1!AA20="","",[1]Sheet1!AA20)</f>
        <v/>
      </c>
      <c r="AG20" t="str">
        <f>IF([1]Sheet1!AB20="","",[1]Sheet1!AB20)</f>
        <v/>
      </c>
      <c r="AH20" t="str">
        <f>IF([1]Sheet1!AC20="","",[1]Sheet1!AC20)</f>
        <v/>
      </c>
      <c r="AI20" t="str">
        <f>IF([1]Sheet1!AD20="","",[1]Sheet1!AD20)</f>
        <v/>
      </c>
      <c r="AJ20" t="str">
        <f>IF([1]Sheet1!AE20="","",[1]Sheet1!AE20)</f>
        <v/>
      </c>
      <c r="AK20" t="str">
        <f>IF([1]Sheet1!AF20="","",[1]Sheet1!AF20)</f>
        <v/>
      </c>
      <c r="AL20" t="str">
        <f>IF([1]Sheet1!AG20="","",[1]Sheet1!AG20)</f>
        <v/>
      </c>
      <c r="AM20" t="str">
        <f>IF([1]Sheet1!AH20="","",[1]Sheet1!AH20)</f>
        <v/>
      </c>
      <c r="AN20" t="str">
        <f>IF([1]Sheet1!AI20="","",[1]Sheet1!AI20)</f>
        <v/>
      </c>
      <c r="AO20" t="str">
        <f>IF([1]Sheet1!AJ20="","",[1]Sheet1!AJ20)</f>
        <v/>
      </c>
      <c r="AP20" t="str">
        <f>IF([1]Sheet1!AK20="","",[1]Sheet1!AK20)</f>
        <v/>
      </c>
      <c r="AQ20" t="str">
        <f>IF([1]Sheet1!AL20="","",[1]Sheet1!AL20)</f>
        <v/>
      </c>
      <c r="AR20" t="str">
        <f>IF([1]Sheet1!AM20="","",[1]Sheet1!AM20)</f>
        <v/>
      </c>
      <c r="AS20" t="str">
        <f>IF([1]Sheet1!AN20="","",[1]Sheet1!AN20)</f>
        <v/>
      </c>
    </row>
    <row r="21" spans="1:45" hidden="1" x14ac:dyDescent="0.2">
      <c r="F21" t="str">
        <f>IF([1]Sheet1!A21="","",[1]Sheet1!A21)</f>
        <v>9702</v>
      </c>
      <c r="G21">
        <f>IF([1]Sheet1!B21="","",[1]Sheet1!B21)</f>
        <v>15</v>
      </c>
      <c r="H21">
        <f>IF([1]Sheet1!C21="","",[1]Sheet1!C21)</f>
        <v>0</v>
      </c>
      <c r="I21">
        <f>IF([1]Sheet1!D21="","",[1]Sheet1!D21)</f>
        <v>15</v>
      </c>
      <c r="J21">
        <f>IF([1]Sheet1!E21="","",[1]Sheet1!E21)</f>
        <v>1</v>
      </c>
      <c r="K21">
        <f>IF([1]Sheet1!F21="","",[1]Sheet1!F21)</f>
        <v>5</v>
      </c>
      <c r="L21">
        <f>IF([1]Sheet1!G21="","",[1]Sheet1!G21)</f>
        <v>4</v>
      </c>
      <c r="M21">
        <f>IF([1]Sheet1!H21="","",[1]Sheet1!H21)</f>
        <v>0</v>
      </c>
      <c r="N21">
        <f>IF([1]Sheet1!I21="","",[1]Sheet1!I21)</f>
        <v>0</v>
      </c>
      <c r="O21" t="str">
        <f>IF([1]Sheet1!J21="","",[1]Sheet1!J21)</f>
        <v/>
      </c>
      <c r="P21" t="str">
        <f>IF([1]Sheet1!K21="","",[1]Sheet1!K21)</f>
        <v/>
      </c>
      <c r="Q21" t="str">
        <f>IF([1]Sheet1!L21="","",[1]Sheet1!L21)</f>
        <v/>
      </c>
      <c r="R21" t="str">
        <f>IF([1]Sheet1!M21="","",[1]Sheet1!M21)</f>
        <v/>
      </c>
      <c r="S21" t="str">
        <f>IF([1]Sheet1!N21="","",[1]Sheet1!N21)</f>
        <v/>
      </c>
      <c r="T21" t="str">
        <f>IF([1]Sheet1!O21="","",[1]Sheet1!O21)</f>
        <v/>
      </c>
      <c r="U21" t="str">
        <f>IF([1]Sheet1!P21="","",[1]Sheet1!P21)</f>
        <v/>
      </c>
      <c r="V21" t="str">
        <f>IF([1]Sheet1!Q21="","",[1]Sheet1!Q21)</f>
        <v/>
      </c>
      <c r="W21" t="str">
        <f>IF([1]Sheet1!R21="","",[1]Sheet1!R21)</f>
        <v/>
      </c>
      <c r="X21" t="str">
        <f>IF([1]Sheet1!S21="","",[1]Sheet1!S21)</f>
        <v/>
      </c>
      <c r="Y21" t="str">
        <f>IF([1]Sheet1!T21="","",[1]Sheet1!T21)</f>
        <v/>
      </c>
      <c r="Z21" t="str">
        <f>IF([1]Sheet1!U21="","",[1]Sheet1!U21)</f>
        <v/>
      </c>
      <c r="AA21" t="str">
        <f>IF([1]Sheet1!V21="","",[1]Sheet1!V21)</f>
        <v/>
      </c>
      <c r="AB21" t="str">
        <f>IF([1]Sheet1!W21="","",[1]Sheet1!W21)</f>
        <v/>
      </c>
      <c r="AC21" t="str">
        <f>IF([1]Sheet1!X21="","",[1]Sheet1!X21)</f>
        <v/>
      </c>
      <c r="AD21" t="str">
        <f>IF([1]Sheet1!Y21="","",[1]Sheet1!Y21)</f>
        <v/>
      </c>
      <c r="AE21" t="str">
        <f>IF([1]Sheet1!Z21="","",[1]Sheet1!Z21)</f>
        <v/>
      </c>
      <c r="AF21" t="str">
        <f>IF([1]Sheet1!AA21="","",[1]Sheet1!AA21)</f>
        <v/>
      </c>
      <c r="AG21" t="str">
        <f>IF([1]Sheet1!AB21="","",[1]Sheet1!AB21)</f>
        <v/>
      </c>
      <c r="AH21" t="str">
        <f>IF([1]Sheet1!AC21="","",[1]Sheet1!AC21)</f>
        <v/>
      </c>
      <c r="AI21" t="str">
        <f>IF([1]Sheet1!AD21="","",[1]Sheet1!AD21)</f>
        <v/>
      </c>
      <c r="AJ21" t="str">
        <f>IF([1]Sheet1!AE21="","",[1]Sheet1!AE21)</f>
        <v/>
      </c>
      <c r="AK21" t="str">
        <f>IF([1]Sheet1!AF21="","",[1]Sheet1!AF21)</f>
        <v/>
      </c>
      <c r="AL21" t="str">
        <f>IF([1]Sheet1!AG21="","",[1]Sheet1!AG21)</f>
        <v/>
      </c>
      <c r="AM21" t="str">
        <f>IF([1]Sheet1!AH21="","",[1]Sheet1!AH21)</f>
        <v/>
      </c>
      <c r="AN21" t="str">
        <f>IF([1]Sheet1!AI21="","",[1]Sheet1!AI21)</f>
        <v/>
      </c>
      <c r="AO21" t="str">
        <f>IF([1]Sheet1!AJ21="","",[1]Sheet1!AJ21)</f>
        <v/>
      </c>
      <c r="AP21" t="str">
        <f>IF([1]Sheet1!AK21="","",[1]Sheet1!AK21)</f>
        <v/>
      </c>
      <c r="AQ21" t="str">
        <f>IF([1]Sheet1!AL21="","",[1]Sheet1!AL21)</f>
        <v/>
      </c>
      <c r="AR21" t="str">
        <f>IF([1]Sheet1!AM21="","",[1]Sheet1!AM21)</f>
        <v/>
      </c>
      <c r="AS21" t="str">
        <f>IF([1]Sheet1!AN21="","",[1]Sheet1!AN21)</f>
        <v/>
      </c>
    </row>
    <row r="22" spans="1:45" hidden="1" x14ac:dyDescent="0.2">
      <c r="F22" t="str">
        <f>IF([1]Sheet1!A22="","",[1]Sheet1!A22)</f>
        <v>9704</v>
      </c>
      <c r="G22">
        <f>IF([1]Sheet1!B22="","",[1]Sheet1!B22)</f>
        <v>31</v>
      </c>
      <c r="H22">
        <f>IF([1]Sheet1!C22="","",[1]Sheet1!C22)</f>
        <v>0</v>
      </c>
      <c r="I22">
        <f>IF([1]Sheet1!D22="","",[1]Sheet1!D22)</f>
        <v>31</v>
      </c>
      <c r="J22">
        <f>IF([1]Sheet1!E22="","",[1]Sheet1!E22)</f>
        <v>1</v>
      </c>
      <c r="K22" t="str">
        <f>IF([1]Sheet1!F22="","",[1]Sheet1!F22)</f>
        <v/>
      </c>
      <c r="L22" t="str">
        <f>IF([1]Sheet1!G22="","",[1]Sheet1!G22)</f>
        <v/>
      </c>
      <c r="M22" t="str">
        <f>IF([1]Sheet1!H22="","",[1]Sheet1!H22)</f>
        <v/>
      </c>
      <c r="N22" t="str">
        <f>IF([1]Sheet1!I22="","",[1]Sheet1!I22)</f>
        <v/>
      </c>
      <c r="O22" t="str">
        <f>IF([1]Sheet1!J22="","",[1]Sheet1!J22)</f>
        <v/>
      </c>
      <c r="P22" t="str">
        <f>IF([1]Sheet1!K22="","",[1]Sheet1!K22)</f>
        <v/>
      </c>
      <c r="Q22" t="str">
        <f>IF([1]Sheet1!L22="","",[1]Sheet1!L22)</f>
        <v/>
      </c>
      <c r="R22" t="str">
        <f>IF([1]Sheet1!M22="","",[1]Sheet1!M22)</f>
        <v/>
      </c>
      <c r="S22" t="str">
        <f>IF([1]Sheet1!N22="","",[1]Sheet1!N22)</f>
        <v/>
      </c>
      <c r="T22" t="str">
        <f>IF([1]Sheet1!O22="","",[1]Sheet1!O22)</f>
        <v/>
      </c>
      <c r="U22" t="str">
        <f>IF([1]Sheet1!P22="","",[1]Sheet1!P22)</f>
        <v/>
      </c>
      <c r="V22" t="str">
        <f>IF([1]Sheet1!Q22="","",[1]Sheet1!Q22)</f>
        <v/>
      </c>
      <c r="W22" t="str">
        <f>IF([1]Sheet1!R22="","",[1]Sheet1!R22)</f>
        <v/>
      </c>
      <c r="X22" t="str">
        <f>IF([1]Sheet1!S22="","",[1]Sheet1!S22)</f>
        <v/>
      </c>
      <c r="Y22" t="str">
        <f>IF([1]Sheet1!T22="","",[1]Sheet1!T22)</f>
        <v/>
      </c>
      <c r="Z22" t="str">
        <f>IF([1]Sheet1!U22="","",[1]Sheet1!U22)</f>
        <v/>
      </c>
      <c r="AA22" t="str">
        <f>IF([1]Sheet1!V22="","",[1]Sheet1!V22)</f>
        <v/>
      </c>
      <c r="AB22" t="str">
        <f>IF([1]Sheet1!W22="","",[1]Sheet1!W22)</f>
        <v/>
      </c>
      <c r="AC22" t="str">
        <f>IF([1]Sheet1!X22="","",[1]Sheet1!X22)</f>
        <v/>
      </c>
      <c r="AD22" t="str">
        <f>IF([1]Sheet1!Y22="","",[1]Sheet1!Y22)</f>
        <v/>
      </c>
      <c r="AE22" t="str">
        <f>IF([1]Sheet1!Z22="","",[1]Sheet1!Z22)</f>
        <v/>
      </c>
      <c r="AF22" t="str">
        <f>IF([1]Sheet1!AA22="","",[1]Sheet1!AA22)</f>
        <v/>
      </c>
      <c r="AG22" t="str">
        <f>IF([1]Sheet1!AB22="","",[1]Sheet1!AB22)</f>
        <v/>
      </c>
      <c r="AH22" t="str">
        <f>IF([1]Sheet1!AC22="","",[1]Sheet1!AC22)</f>
        <v/>
      </c>
      <c r="AI22" t="str">
        <f>IF([1]Sheet1!AD22="","",[1]Sheet1!AD22)</f>
        <v/>
      </c>
      <c r="AJ22" t="str">
        <f>IF([1]Sheet1!AE22="","",[1]Sheet1!AE22)</f>
        <v/>
      </c>
      <c r="AK22" t="str">
        <f>IF([1]Sheet1!AF22="","",[1]Sheet1!AF22)</f>
        <v/>
      </c>
      <c r="AL22" t="str">
        <f>IF([1]Sheet1!AG22="","",[1]Sheet1!AG22)</f>
        <v/>
      </c>
      <c r="AM22" t="str">
        <f>IF([1]Sheet1!AH22="","",[1]Sheet1!AH22)</f>
        <v/>
      </c>
      <c r="AN22" t="str">
        <f>IF([1]Sheet1!AI22="","",[1]Sheet1!AI22)</f>
        <v/>
      </c>
      <c r="AO22" t="str">
        <f>IF([1]Sheet1!AJ22="","",[1]Sheet1!AJ22)</f>
        <v/>
      </c>
      <c r="AP22" t="str">
        <f>IF([1]Sheet1!AK22="","",[1]Sheet1!AK22)</f>
        <v/>
      </c>
      <c r="AQ22" t="str">
        <f>IF([1]Sheet1!AL22="","",[1]Sheet1!AL22)</f>
        <v/>
      </c>
      <c r="AR22" t="str">
        <f>IF([1]Sheet1!AM22="","",[1]Sheet1!AM22)</f>
        <v/>
      </c>
      <c r="AS22" t="str">
        <f>IF([1]Sheet1!AN22="","",[1]Sheet1!AN22)</f>
        <v/>
      </c>
    </row>
    <row r="23" spans="1:45" hidden="1" x14ac:dyDescent="0.2">
      <c r="F23" t="str">
        <f>IF([1]Sheet1!A23="","",[1]Sheet1!A23)</f>
        <v/>
      </c>
      <c r="G23" t="str">
        <f>IF([1]Sheet1!B23="","",[1]Sheet1!B23)</f>
        <v/>
      </c>
      <c r="H23" t="str">
        <f>IF([1]Sheet1!C23="","",[1]Sheet1!C23)</f>
        <v/>
      </c>
      <c r="I23" t="str">
        <f>IF([1]Sheet1!D23="","",[1]Sheet1!D23)</f>
        <v/>
      </c>
      <c r="J23" t="str">
        <f>IF([1]Sheet1!E23="","",[1]Sheet1!E23)</f>
        <v/>
      </c>
      <c r="K23" t="str">
        <f>IF([1]Sheet1!F23="","",[1]Sheet1!F23)</f>
        <v/>
      </c>
      <c r="L23" t="str">
        <f>IF([1]Sheet1!G23="","",[1]Sheet1!G23)</f>
        <v/>
      </c>
      <c r="M23" t="str">
        <f>IF([1]Sheet1!H23="","",[1]Sheet1!H23)</f>
        <v/>
      </c>
      <c r="N23" t="str">
        <f>IF([1]Sheet1!I23="","",[1]Sheet1!I23)</f>
        <v/>
      </c>
      <c r="O23" t="str">
        <f>IF([1]Sheet1!J23="","",[1]Sheet1!J23)</f>
        <v/>
      </c>
      <c r="P23" t="str">
        <f>IF([1]Sheet1!K23="","",[1]Sheet1!K23)</f>
        <v/>
      </c>
      <c r="Q23" t="str">
        <f>IF([1]Sheet1!L23="","",[1]Sheet1!L23)</f>
        <v/>
      </c>
      <c r="R23" t="str">
        <f>IF([1]Sheet1!M23="","",[1]Sheet1!M23)</f>
        <v/>
      </c>
      <c r="S23" t="str">
        <f>IF([1]Sheet1!N23="","",[1]Sheet1!N23)</f>
        <v/>
      </c>
      <c r="T23" t="str">
        <f>IF([1]Sheet1!O23="","",[1]Sheet1!O23)</f>
        <v/>
      </c>
      <c r="U23" t="str">
        <f>IF([1]Sheet1!P23="","",[1]Sheet1!P23)</f>
        <v/>
      </c>
      <c r="V23" t="str">
        <f>IF([1]Sheet1!Q23="","",[1]Sheet1!Q23)</f>
        <v/>
      </c>
      <c r="W23" t="str">
        <f>IF([1]Sheet1!R23="","",[1]Sheet1!R23)</f>
        <v/>
      </c>
      <c r="X23" t="str">
        <f>IF([1]Sheet1!S23="","",[1]Sheet1!S23)</f>
        <v/>
      </c>
      <c r="Y23" t="str">
        <f>IF([1]Sheet1!T23="","",[1]Sheet1!T23)</f>
        <v/>
      </c>
      <c r="Z23" t="str">
        <f>IF([1]Sheet1!U23="","",[1]Sheet1!U23)</f>
        <v/>
      </c>
      <c r="AA23" t="str">
        <f>IF([1]Sheet1!V23="","",[1]Sheet1!V23)</f>
        <v/>
      </c>
      <c r="AB23" t="str">
        <f>IF([1]Sheet1!W23="","",[1]Sheet1!W23)</f>
        <v/>
      </c>
      <c r="AC23" t="str">
        <f>IF([1]Sheet1!X23="","",[1]Sheet1!X23)</f>
        <v/>
      </c>
      <c r="AD23" t="str">
        <f>IF([1]Sheet1!Y23="","",[1]Sheet1!Y23)</f>
        <v/>
      </c>
      <c r="AE23" t="str">
        <f>IF([1]Sheet1!Z23="","",[1]Sheet1!Z23)</f>
        <v/>
      </c>
      <c r="AF23" t="str">
        <f>IF([1]Sheet1!AA23="","",[1]Sheet1!AA23)</f>
        <v/>
      </c>
      <c r="AG23" t="str">
        <f>IF([1]Sheet1!AB23="","",[1]Sheet1!AB23)</f>
        <v/>
      </c>
      <c r="AH23" t="str">
        <f>IF([1]Sheet1!AC23="","",[1]Sheet1!AC23)</f>
        <v/>
      </c>
      <c r="AI23" t="str">
        <f>IF([1]Sheet1!AD23="","",[1]Sheet1!AD23)</f>
        <v/>
      </c>
      <c r="AJ23" t="str">
        <f>IF([1]Sheet1!AE23="","",[1]Sheet1!AE23)</f>
        <v/>
      </c>
      <c r="AK23" t="str">
        <f>IF([1]Sheet1!AF23="","",[1]Sheet1!AF23)</f>
        <v/>
      </c>
      <c r="AL23" t="str">
        <f>IF([1]Sheet1!AG23="","",[1]Sheet1!AG23)</f>
        <v/>
      </c>
      <c r="AM23" t="str">
        <f>IF([1]Sheet1!AH23="","",[1]Sheet1!AH23)</f>
        <v/>
      </c>
      <c r="AN23" t="str">
        <f>IF([1]Sheet1!AI23="","",[1]Sheet1!AI23)</f>
        <v/>
      </c>
      <c r="AO23" t="str">
        <f>IF([1]Sheet1!AJ23="","",[1]Sheet1!AJ23)</f>
        <v/>
      </c>
      <c r="AP23" t="str">
        <f>IF([1]Sheet1!AK23="","",[1]Sheet1!AK23)</f>
        <v/>
      </c>
      <c r="AQ23" t="str">
        <f>IF([1]Sheet1!AL23="","",[1]Sheet1!AL23)</f>
        <v/>
      </c>
      <c r="AR23" t="str">
        <f>IF([1]Sheet1!AM23="","",[1]Sheet1!AM23)</f>
        <v/>
      </c>
      <c r="AS23" t="str">
        <f>IF([1]Sheet1!AN23="","",[1]Sheet1!AN23)</f>
        <v/>
      </c>
    </row>
    <row r="24" spans="1:45" hidden="1" x14ac:dyDescent="0.2">
      <c r="F24" t="str">
        <f>IF([1]Sheet1!A24="","",[1]Sheet1!A24)</f>
        <v/>
      </c>
      <c r="G24" t="str">
        <f>IF([1]Sheet1!B24="","",[1]Sheet1!B24)</f>
        <v/>
      </c>
      <c r="H24" t="str">
        <f>IF([1]Sheet1!C24="","",[1]Sheet1!C24)</f>
        <v/>
      </c>
      <c r="I24" t="str">
        <f>IF([1]Sheet1!D24="","",[1]Sheet1!D24)</f>
        <v/>
      </c>
      <c r="J24" t="str">
        <f>IF([1]Sheet1!E24="","",[1]Sheet1!E24)</f>
        <v/>
      </c>
      <c r="K24" t="str">
        <f>IF([1]Sheet1!F24="","",[1]Sheet1!F24)</f>
        <v/>
      </c>
      <c r="L24" t="str">
        <f>IF([1]Sheet1!G24="","",[1]Sheet1!G24)</f>
        <v/>
      </c>
      <c r="M24" t="str">
        <f>IF([1]Sheet1!H24="","",[1]Sheet1!H24)</f>
        <v/>
      </c>
      <c r="N24" t="str">
        <f>IF([1]Sheet1!I24="","",[1]Sheet1!I24)</f>
        <v/>
      </c>
      <c r="O24" t="str">
        <f>IF([1]Sheet1!J24="","",[1]Sheet1!J24)</f>
        <v/>
      </c>
      <c r="P24" t="str">
        <f>IF([1]Sheet1!K24="","",[1]Sheet1!K24)</f>
        <v/>
      </c>
      <c r="Q24" t="str">
        <f>IF([1]Sheet1!L24="","",[1]Sheet1!L24)</f>
        <v/>
      </c>
      <c r="R24" t="str">
        <f>IF([1]Sheet1!M24="","",[1]Sheet1!M24)</f>
        <v/>
      </c>
      <c r="S24" t="str">
        <f>IF([1]Sheet1!N24="","",[1]Sheet1!N24)</f>
        <v/>
      </c>
      <c r="T24" t="str">
        <f>IF([1]Sheet1!O24="","",[1]Sheet1!O24)</f>
        <v/>
      </c>
      <c r="U24" t="str">
        <f>IF([1]Sheet1!P24="","",[1]Sheet1!P24)</f>
        <v/>
      </c>
      <c r="V24" t="str">
        <f>IF([1]Sheet1!Q24="","",[1]Sheet1!Q24)</f>
        <v/>
      </c>
      <c r="W24" t="str">
        <f>IF([1]Sheet1!R24="","",[1]Sheet1!R24)</f>
        <v/>
      </c>
      <c r="X24" t="str">
        <f>IF([1]Sheet1!S24="","",[1]Sheet1!S24)</f>
        <v/>
      </c>
      <c r="Y24" t="str">
        <f>IF([1]Sheet1!T24="","",[1]Sheet1!T24)</f>
        <v/>
      </c>
      <c r="Z24" t="str">
        <f>IF([1]Sheet1!U24="","",[1]Sheet1!U24)</f>
        <v/>
      </c>
      <c r="AA24" t="str">
        <f>IF([1]Sheet1!V24="","",[1]Sheet1!V24)</f>
        <v/>
      </c>
      <c r="AB24" t="str">
        <f>IF([1]Sheet1!W24="","",[1]Sheet1!W24)</f>
        <v/>
      </c>
      <c r="AC24" t="str">
        <f>IF([1]Sheet1!X24="","",[1]Sheet1!X24)</f>
        <v/>
      </c>
      <c r="AD24" t="str">
        <f>IF([1]Sheet1!Y24="","",[1]Sheet1!Y24)</f>
        <v/>
      </c>
      <c r="AE24" t="str">
        <f>IF([1]Sheet1!Z24="","",[1]Sheet1!Z24)</f>
        <v/>
      </c>
      <c r="AF24" t="str">
        <f>IF([1]Sheet1!AA24="","",[1]Sheet1!AA24)</f>
        <v/>
      </c>
      <c r="AG24" t="str">
        <f>IF([1]Sheet1!AB24="","",[1]Sheet1!AB24)</f>
        <v/>
      </c>
      <c r="AH24" t="str">
        <f>IF([1]Sheet1!AC24="","",[1]Sheet1!AC24)</f>
        <v/>
      </c>
      <c r="AI24" t="str">
        <f>IF([1]Sheet1!AD24="","",[1]Sheet1!AD24)</f>
        <v/>
      </c>
      <c r="AJ24" t="str">
        <f>IF([1]Sheet1!AE24="","",[1]Sheet1!AE24)</f>
        <v/>
      </c>
      <c r="AK24" t="str">
        <f>IF([1]Sheet1!AF24="","",[1]Sheet1!AF24)</f>
        <v/>
      </c>
      <c r="AL24" t="str">
        <f>IF([1]Sheet1!AG24="","",[1]Sheet1!AG24)</f>
        <v/>
      </c>
      <c r="AM24" t="str">
        <f>IF([1]Sheet1!AH24="","",[1]Sheet1!AH24)</f>
        <v/>
      </c>
      <c r="AN24" t="str">
        <f>IF([1]Sheet1!AI24="","",[1]Sheet1!AI24)</f>
        <v/>
      </c>
      <c r="AO24" t="str">
        <f>IF([1]Sheet1!AJ24="","",[1]Sheet1!AJ24)</f>
        <v/>
      </c>
      <c r="AP24" t="str">
        <f>IF([1]Sheet1!AK24="","",[1]Sheet1!AK24)</f>
        <v/>
      </c>
      <c r="AQ24" t="str">
        <f>IF([1]Sheet1!AL24="","",[1]Sheet1!AL24)</f>
        <v/>
      </c>
      <c r="AR24" t="str">
        <f>IF([1]Sheet1!AM24="","",[1]Sheet1!AM24)</f>
        <v/>
      </c>
      <c r="AS24" t="str">
        <f>IF([1]Sheet1!AN24="","",[1]Sheet1!AN24)</f>
        <v/>
      </c>
    </row>
    <row r="25" spans="1:45" hidden="1" x14ac:dyDescent="0.2">
      <c r="A25" s="12">
        <f t="shared" ref="A25:D25" si="0">SUM(A29:A60)</f>
        <v>1</v>
      </c>
      <c r="B25" s="12">
        <f t="shared" si="0"/>
        <v>18.995073891625616</v>
      </c>
      <c r="C25" s="13">
        <f>SUM(C29:C60)</f>
        <v>0.99893617021276593</v>
      </c>
      <c r="D25" s="13">
        <f t="shared" si="0"/>
        <v>1.0638297872340441E-3</v>
      </c>
      <c r="F25" t="str">
        <f>IF([1]Sheet1!A25="","",[1]Sheet1!A25)</f>
        <v/>
      </c>
      <c r="G25" s="8">
        <f>SUM(G28:G60)</f>
        <v>940</v>
      </c>
      <c r="H25" s="8">
        <f>SUM(H28:H60)</f>
        <v>0</v>
      </c>
      <c r="I25" s="8">
        <f>SUM(I28:I60)</f>
        <v>939</v>
      </c>
      <c r="J25" s="9">
        <f>SUM(H25:I25)/G25</f>
        <v>0.99893617021276593</v>
      </c>
      <c r="K25" s="8">
        <f>SUM(K28:K60)</f>
        <v>130</v>
      </c>
      <c r="L25" s="8">
        <f>SUM(L28:L60)</f>
        <v>4</v>
      </c>
      <c r="M25" s="8">
        <f>SUM(M28:M60)</f>
        <v>121</v>
      </c>
      <c r="N25" s="9">
        <f>SUM(L25:M25)/K25</f>
        <v>0.96153846153846156</v>
      </c>
      <c r="O25" s="8">
        <f t="shared" ref="O25:Q25" si="1">SUM(O28:O60)</f>
        <v>0</v>
      </c>
      <c r="P25" s="8">
        <f t="shared" si="1"/>
        <v>0</v>
      </c>
      <c r="Q25" s="8">
        <f t="shared" si="1"/>
        <v>0</v>
      </c>
      <c r="R25" s="9" t="e">
        <f t="shared" ref="R25" si="2">SUM(P25:Q25)/O25</f>
        <v>#DIV/0!</v>
      </c>
      <c r="S25" s="8">
        <f t="shared" ref="S25:U25" si="3">SUM(S28:S60)</f>
        <v>0</v>
      </c>
      <c r="T25" s="8">
        <f t="shared" si="3"/>
        <v>0</v>
      </c>
      <c r="U25" s="8">
        <f t="shared" si="3"/>
        <v>0</v>
      </c>
      <c r="V25" s="9" t="e">
        <f t="shared" ref="V25" si="4">SUM(T25:U25)/S25</f>
        <v>#DIV/0!</v>
      </c>
      <c r="W25" s="8">
        <f t="shared" ref="W25:Y25" si="5">SUM(W28:W60)</f>
        <v>0</v>
      </c>
      <c r="X25" s="8">
        <f t="shared" si="5"/>
        <v>0</v>
      </c>
      <c r="Y25" s="8">
        <f t="shared" si="5"/>
        <v>0</v>
      </c>
      <c r="Z25" s="9" t="e">
        <f t="shared" ref="Z25" si="6">SUM(X25:Y25)/W25</f>
        <v>#DIV/0!</v>
      </c>
      <c r="AA25" t="str">
        <f>IF([1]Sheet1!V25="","",[1]Sheet1!V25)</f>
        <v/>
      </c>
      <c r="AB25" t="str">
        <f>IF([1]Sheet1!W25="","",[1]Sheet1!W25)</f>
        <v/>
      </c>
      <c r="AC25" t="str">
        <f>IF([1]Sheet1!X25="","",[1]Sheet1!X25)</f>
        <v/>
      </c>
      <c r="AD25" t="str">
        <f>IF([1]Sheet1!Y25="","",[1]Sheet1!Y25)</f>
        <v/>
      </c>
      <c r="AE25" t="str">
        <f>IF([1]Sheet1!Z25="","",[1]Sheet1!Z25)</f>
        <v/>
      </c>
      <c r="AF25" t="str">
        <f>IF([1]Sheet1!AA25="","",[1]Sheet1!AA25)</f>
        <v/>
      </c>
      <c r="AG25" t="str">
        <f>IF([1]Sheet1!AB25="","",[1]Sheet1!AB25)</f>
        <v/>
      </c>
      <c r="AH25" t="str">
        <f>IF([1]Sheet1!AC25="","",[1]Sheet1!AC25)</f>
        <v/>
      </c>
      <c r="AI25" s="8">
        <f>SUM(AI28:AI60)</f>
        <v>0</v>
      </c>
      <c r="AJ25" s="8">
        <f>SUM(AJ28:AJ60)</f>
        <v>0</v>
      </c>
      <c r="AK25" s="8">
        <f>SUM(AK28:AK60)</f>
        <v>0</v>
      </c>
      <c r="AL25" s="9" t="e">
        <f>SUM(AJ25:AK25)/AI25</f>
        <v>#DIV/0!</v>
      </c>
      <c r="AM25" s="8">
        <f>SUM(AM28:AM60)</f>
        <v>0</v>
      </c>
      <c r="AN25" s="8">
        <f>SUM(AN28:AN60)</f>
        <v>0</v>
      </c>
      <c r="AO25" s="8">
        <f>SUM(AO28:AO60)</f>
        <v>0</v>
      </c>
      <c r="AP25" s="9" t="e">
        <f>SUM(AN25:AO25)/AM25</f>
        <v>#DIV/0!</v>
      </c>
      <c r="AQ25" t="str">
        <f>IF([1]Sheet1!AL25="","",[1]Sheet1!AL25)</f>
        <v/>
      </c>
      <c r="AR25" t="str">
        <f>IF([1]Sheet1!AM25="","",[1]Sheet1!AM25)</f>
        <v/>
      </c>
      <c r="AS25" t="str">
        <f>IF([1]Sheet1!AN25="","",[1]Sheet1!AN25)</f>
        <v/>
      </c>
    </row>
    <row r="26" spans="1:45" hidden="1" x14ac:dyDescent="0.2"/>
    <row r="27" spans="1:45" s="2" customFormat="1" hidden="1" x14ac:dyDescent="0.2">
      <c r="F27" s="3"/>
      <c r="G27" s="3">
        <v>2</v>
      </c>
      <c r="H27" s="3">
        <v>3</v>
      </c>
      <c r="I27" s="3">
        <v>4</v>
      </c>
      <c r="J27" s="3">
        <v>5</v>
      </c>
      <c r="K27" s="3">
        <v>6</v>
      </c>
      <c r="L27" s="3">
        <v>7</v>
      </c>
      <c r="M27" s="3">
        <v>8</v>
      </c>
      <c r="N27" s="3">
        <v>9</v>
      </c>
      <c r="O27" s="3">
        <v>10</v>
      </c>
      <c r="P27" s="3">
        <v>11</v>
      </c>
      <c r="Q27" s="3">
        <v>12</v>
      </c>
      <c r="R27" s="3">
        <v>13</v>
      </c>
      <c r="S27" s="3">
        <v>14</v>
      </c>
      <c r="T27" s="3">
        <v>15</v>
      </c>
      <c r="U27" s="3">
        <v>16</v>
      </c>
      <c r="V27" s="3">
        <v>17</v>
      </c>
      <c r="W27" s="3">
        <v>18</v>
      </c>
      <c r="X27" s="3">
        <v>19</v>
      </c>
      <c r="Y27" s="3">
        <v>20</v>
      </c>
      <c r="Z27" s="3">
        <v>21</v>
      </c>
      <c r="AA27" s="3">
        <v>22</v>
      </c>
      <c r="AB27" s="3">
        <v>23</v>
      </c>
      <c r="AC27" s="3">
        <v>24</v>
      </c>
      <c r="AD27" s="3">
        <v>25</v>
      </c>
      <c r="AE27" s="3">
        <v>26</v>
      </c>
      <c r="AF27" s="3">
        <v>27</v>
      </c>
      <c r="AG27" s="3">
        <v>28</v>
      </c>
      <c r="AH27" s="3">
        <v>29</v>
      </c>
      <c r="AI27" s="3">
        <v>30</v>
      </c>
      <c r="AJ27" s="3">
        <v>31</v>
      </c>
      <c r="AK27" s="3">
        <v>32</v>
      </c>
      <c r="AL27" s="3">
        <v>33</v>
      </c>
      <c r="AM27" s="3">
        <v>34</v>
      </c>
      <c r="AN27" s="3">
        <v>35</v>
      </c>
      <c r="AO27" s="3">
        <v>36</v>
      </c>
      <c r="AP27" s="3">
        <v>37</v>
      </c>
    </row>
    <row r="28" spans="1:45" x14ac:dyDescent="0.2">
      <c r="F28" s="4" t="s">
        <v>19</v>
      </c>
      <c r="G28" s="5" t="str">
        <f t="shared" ref="G28:P37" si="7">IFERROR(IF(VLOOKUP($F28,$F$4:$AP$27,G$27,FALSE)="","",VLOOKUP($F28,$F$4:$AP$27,G$27,FALSE)),"")</f>
        <v/>
      </c>
      <c r="H28" s="6" t="str">
        <f t="shared" si="7"/>
        <v/>
      </c>
      <c r="I28" s="6" t="str">
        <f t="shared" si="7"/>
        <v/>
      </c>
      <c r="J28" s="5" t="str">
        <f t="shared" si="7"/>
        <v/>
      </c>
      <c r="K28" s="6" t="str">
        <f t="shared" si="7"/>
        <v/>
      </c>
      <c r="L28" s="6" t="str">
        <f t="shared" si="7"/>
        <v/>
      </c>
      <c r="M28" s="5" t="str">
        <f t="shared" si="7"/>
        <v/>
      </c>
      <c r="N28" s="5" t="str">
        <f t="shared" si="7"/>
        <v/>
      </c>
      <c r="O28" s="6" t="str">
        <f t="shared" si="7"/>
        <v/>
      </c>
      <c r="P28" s="5" t="str">
        <f t="shared" si="7"/>
        <v/>
      </c>
      <c r="Q28" s="6" t="str">
        <f t="shared" ref="Q28:Z37" si="8">IFERROR(IF(VLOOKUP($F28,$F$4:$AP$27,Q$27,FALSE)="","",VLOOKUP($F28,$F$4:$AP$27,Q$27,FALSE)),"")</f>
        <v/>
      </c>
      <c r="R28" s="6"/>
      <c r="S28" s="5" t="str">
        <f t="shared" si="8"/>
        <v/>
      </c>
      <c r="T28" s="6" t="str">
        <f t="shared" si="8"/>
        <v/>
      </c>
      <c r="U28" s="6" t="str">
        <f t="shared" si="8"/>
        <v/>
      </c>
      <c r="V28" s="5" t="str">
        <f t="shared" si="8"/>
        <v/>
      </c>
      <c r="W28" s="6" t="str">
        <f t="shared" si="8"/>
        <v/>
      </c>
      <c r="X28" s="6" t="str">
        <f t="shared" si="8"/>
        <v/>
      </c>
      <c r="Y28" s="5" t="str">
        <f t="shared" si="8"/>
        <v/>
      </c>
      <c r="Z28" s="5" t="str">
        <f t="shared" si="8"/>
        <v/>
      </c>
      <c r="AA28" s="6" t="str">
        <f t="shared" ref="AA28:AG37" si="9">IFERROR(IF(VLOOKUP($F28,$F$4:$AP$27,AA$27,FALSE)="","",VLOOKUP($F28,$F$4:$AP$27,AA$27,FALSE)),"")</f>
        <v/>
      </c>
      <c r="AB28" s="5" t="str">
        <f t="shared" si="9"/>
        <v/>
      </c>
      <c r="AC28" s="6" t="str">
        <f t="shared" si="9"/>
        <v/>
      </c>
      <c r="AD28" s="6" t="str">
        <f t="shared" si="9"/>
        <v/>
      </c>
      <c r="AE28" s="5" t="str">
        <f t="shared" si="9"/>
        <v/>
      </c>
      <c r="AF28" s="6" t="str">
        <f t="shared" si="9"/>
        <v/>
      </c>
      <c r="AG28" s="6" t="str">
        <f t="shared" si="9"/>
        <v/>
      </c>
      <c r="AH28" s="5"/>
      <c r="AI28" s="5"/>
      <c r="AJ28" s="5"/>
      <c r="AK28" s="5"/>
      <c r="AL28" s="5"/>
      <c r="AM28" s="5"/>
      <c r="AN28" s="5"/>
      <c r="AO28" s="5"/>
      <c r="AP28" s="5"/>
    </row>
    <row r="29" spans="1:45" x14ac:dyDescent="0.2">
      <c r="A29" s="10">
        <f>IFERROR(G29/$G$25,"")</f>
        <v>1.7021276595744681E-2</v>
      </c>
      <c r="B29" s="1">
        <f>IFERROR( IF(SUM(H29:I29)/G29&gt;1,1,SUM(H29:I29)/G29),"")</f>
        <v>1</v>
      </c>
      <c r="C29" s="1">
        <f>IFERROR(A29*B29,"")</f>
        <v>1.7021276595744681E-2</v>
      </c>
      <c r="D29" s="1">
        <f>IFERROR(A29-C29,"")</f>
        <v>0</v>
      </c>
      <c r="E29" s="10" t="str">
        <f>VLOOKUP(_xlfn.NUMBERVALUE(F29),Sheet2!$A$1:$B$29,2,FALSE)</f>
        <v>Kabupaten Jayapura</v>
      </c>
      <c r="F29" s="2" t="s">
        <v>0</v>
      </c>
      <c r="G29">
        <f t="shared" si="7"/>
        <v>16</v>
      </c>
      <c r="H29">
        <f t="shared" si="7"/>
        <v>0</v>
      </c>
      <c r="I29">
        <f>IF(IFERROR(IF(VLOOKUP($F29,$F$4:$AP$27,I$27,FALSE)="","",VLOOKUP($F29,$F$4:$AP$27,I$27,FALSE)),"")&gt;G29,G29,IFERROR(IF(VLOOKUP($F29,$F$4:$AP$27,I$27,FALSE)="","",VLOOKUP($F29,$F$4:$AP$27,I$27,FALSE)),""))</f>
        <v>16</v>
      </c>
      <c r="J29" s="1">
        <f t="shared" si="7"/>
        <v>1</v>
      </c>
      <c r="K29">
        <f t="shared" si="7"/>
        <v>6</v>
      </c>
      <c r="L29">
        <f t="shared" si="7"/>
        <v>0</v>
      </c>
      <c r="M29">
        <f>IF(IFERROR(IF(VLOOKUP($F29,$F$4:$AP$27,M$27,FALSE)="","",VLOOKUP($F29,$F$4:$AP$27,M$27,FALSE)),"")&gt;K29,K29,IFERROR(IF(VLOOKUP($F29,$F$4:$AP$27,M$27,FALSE)="","",VLOOKUP($F29,$F$4:$AP$27,M$27,FALSE)),""))</f>
        <v>6</v>
      </c>
      <c r="N29" s="1">
        <f t="shared" si="7"/>
        <v>1</v>
      </c>
      <c r="O29" t="str">
        <f t="shared" si="7"/>
        <v/>
      </c>
      <c r="P29" t="str">
        <f t="shared" si="7"/>
        <v/>
      </c>
      <c r="Q29" t="str">
        <f t="shared" si="8"/>
        <v/>
      </c>
      <c r="R29" s="1" t="str">
        <f t="shared" si="8"/>
        <v/>
      </c>
      <c r="S29" t="str">
        <f t="shared" si="8"/>
        <v/>
      </c>
      <c r="T29" t="str">
        <f t="shared" si="8"/>
        <v/>
      </c>
      <c r="U29" t="str">
        <f t="shared" si="8"/>
        <v/>
      </c>
      <c r="V29" s="1" t="str">
        <f t="shared" si="8"/>
        <v/>
      </c>
      <c r="W29" t="str">
        <f t="shared" si="8"/>
        <v/>
      </c>
      <c r="X29" t="str">
        <f t="shared" si="8"/>
        <v/>
      </c>
      <c r="Y29" t="str">
        <f t="shared" si="8"/>
        <v/>
      </c>
      <c r="Z29" s="1" t="str">
        <f t="shared" si="8"/>
        <v/>
      </c>
      <c r="AA29" t="str">
        <f t="shared" si="9"/>
        <v/>
      </c>
      <c r="AB29" t="str">
        <f t="shared" si="9"/>
        <v/>
      </c>
      <c r="AC29" t="str">
        <f t="shared" si="9"/>
        <v/>
      </c>
      <c r="AD29" s="1" t="str">
        <f t="shared" si="9"/>
        <v/>
      </c>
      <c r="AE29" t="str">
        <f t="shared" si="9"/>
        <v/>
      </c>
      <c r="AF29" t="str">
        <f t="shared" si="9"/>
        <v/>
      </c>
      <c r="AG29" t="str">
        <f t="shared" si="9"/>
        <v/>
      </c>
      <c r="AH29" s="1" t="str">
        <f t="shared" ref="AH29:AP38" si="10">IFERROR(IF(VLOOKUP($F29,$F$4:$AP$27,AH$27,FALSE)="","",VLOOKUP($F29,$F$4:$AP$27,AH$27,FALSE)),"")</f>
        <v/>
      </c>
      <c r="AI29" t="str">
        <f t="shared" si="10"/>
        <v/>
      </c>
      <c r="AJ29" t="str">
        <f t="shared" si="10"/>
        <v/>
      </c>
      <c r="AK29" t="str">
        <f t="shared" si="10"/>
        <v/>
      </c>
      <c r="AL29" s="1" t="str">
        <f t="shared" si="10"/>
        <v/>
      </c>
      <c r="AM29" t="str">
        <f t="shared" si="10"/>
        <v/>
      </c>
      <c r="AN29" t="str">
        <f t="shared" si="10"/>
        <v/>
      </c>
      <c r="AO29" t="str">
        <f t="shared" si="10"/>
        <v/>
      </c>
      <c r="AP29" s="1" t="str">
        <f t="shared" si="10"/>
        <v/>
      </c>
    </row>
    <row r="30" spans="1:45" x14ac:dyDescent="0.2">
      <c r="A30" s="10">
        <f t="shared" ref="A30:A60" si="11">IFERROR(G30/$G$25,"")</f>
        <v>4.3617021276595745E-2</v>
      </c>
      <c r="B30" s="1">
        <f t="shared" ref="B30:B60" si="12">IFERROR( IF(SUM(H30:I30)/G30&gt;1,1,SUM(H30:I30)/G30),"")</f>
        <v>1</v>
      </c>
      <c r="C30" s="1">
        <f t="shared" ref="C30:C56" si="13">IFERROR(A30*B30,"")</f>
        <v>4.3617021276595745E-2</v>
      </c>
      <c r="D30" s="1">
        <f t="shared" ref="D30:D60" si="14">IFERROR(A30-C30,"")</f>
        <v>0</v>
      </c>
      <c r="E30" s="10" t="str">
        <f>VLOOKUP(_xlfn.NUMBERVALUE(F30),Sheet2!$A$1:$B$29,2,FALSE)</f>
        <v>Kepulauan Yapen</v>
      </c>
      <c r="F30" s="2" t="s">
        <v>1</v>
      </c>
      <c r="G30">
        <f t="shared" si="7"/>
        <v>41</v>
      </c>
      <c r="H30">
        <f t="shared" si="7"/>
        <v>0</v>
      </c>
      <c r="I30">
        <f t="shared" ref="I30:I60" si="15">IF(IFERROR(IF(VLOOKUP($F30,$F$4:$AP$27,I$27,FALSE)="","",VLOOKUP($F30,$F$4:$AP$27,I$27,FALSE)),"")&gt;G30,G30,IFERROR(IF(VLOOKUP($F30,$F$4:$AP$27,I$27,FALSE)="","",VLOOKUP($F30,$F$4:$AP$27,I$27,FALSE)),""))</f>
        <v>41</v>
      </c>
      <c r="J30" s="1">
        <f t="shared" si="7"/>
        <v>1</v>
      </c>
      <c r="K30">
        <f t="shared" si="7"/>
        <v>3</v>
      </c>
      <c r="L30">
        <f t="shared" si="7"/>
        <v>0</v>
      </c>
      <c r="M30">
        <f t="shared" ref="M30:M60" si="16">IF(IFERROR(IF(VLOOKUP($F30,$F$4:$AP$27,M$27,FALSE)="","",VLOOKUP($F30,$F$4:$AP$27,M$27,FALSE)),"")&gt;K30,K30,IFERROR(IF(VLOOKUP($F30,$F$4:$AP$27,M$27,FALSE)="","",VLOOKUP($F30,$F$4:$AP$27,M$27,FALSE)),""))</f>
        <v>3</v>
      </c>
      <c r="N30" s="1">
        <f t="shared" si="7"/>
        <v>1</v>
      </c>
      <c r="O30" t="str">
        <f t="shared" si="7"/>
        <v/>
      </c>
      <c r="P30" t="str">
        <f t="shared" si="7"/>
        <v/>
      </c>
      <c r="Q30" t="str">
        <f t="shared" si="8"/>
        <v/>
      </c>
      <c r="R30" s="1" t="str">
        <f t="shared" si="8"/>
        <v/>
      </c>
      <c r="S30" t="str">
        <f t="shared" si="8"/>
        <v/>
      </c>
      <c r="T30" t="str">
        <f t="shared" si="8"/>
        <v/>
      </c>
      <c r="U30" t="str">
        <f t="shared" si="8"/>
        <v/>
      </c>
      <c r="V30" s="1" t="str">
        <f t="shared" si="8"/>
        <v/>
      </c>
      <c r="W30" t="str">
        <f t="shared" si="8"/>
        <v/>
      </c>
      <c r="X30" t="str">
        <f t="shared" si="8"/>
        <v/>
      </c>
      <c r="Y30" t="str">
        <f t="shared" si="8"/>
        <v/>
      </c>
      <c r="Z30" s="1" t="str">
        <f t="shared" si="8"/>
        <v/>
      </c>
      <c r="AA30" t="str">
        <f t="shared" si="9"/>
        <v/>
      </c>
      <c r="AB30" t="str">
        <f t="shared" si="9"/>
        <v/>
      </c>
      <c r="AC30" t="str">
        <f t="shared" si="9"/>
        <v/>
      </c>
      <c r="AD30" s="1" t="str">
        <f t="shared" si="9"/>
        <v/>
      </c>
      <c r="AE30" t="str">
        <f t="shared" si="9"/>
        <v/>
      </c>
      <c r="AF30" t="str">
        <f t="shared" si="9"/>
        <v/>
      </c>
      <c r="AG30" t="str">
        <f t="shared" si="9"/>
        <v/>
      </c>
      <c r="AH30" s="1" t="str">
        <f t="shared" si="10"/>
        <v/>
      </c>
      <c r="AI30" t="str">
        <f t="shared" si="10"/>
        <v/>
      </c>
      <c r="AJ30" t="str">
        <f t="shared" si="10"/>
        <v/>
      </c>
      <c r="AK30" t="str">
        <f t="shared" si="10"/>
        <v/>
      </c>
      <c r="AL30" s="1" t="str">
        <f t="shared" si="10"/>
        <v/>
      </c>
      <c r="AM30" t="str">
        <f t="shared" si="10"/>
        <v/>
      </c>
      <c r="AN30" t="str">
        <f t="shared" si="10"/>
        <v/>
      </c>
      <c r="AO30" t="str">
        <f t="shared" si="10"/>
        <v/>
      </c>
      <c r="AP30" s="1" t="str">
        <f t="shared" si="10"/>
        <v/>
      </c>
    </row>
    <row r="31" spans="1:45" x14ac:dyDescent="0.2">
      <c r="A31" s="10">
        <f t="shared" si="11"/>
        <v>2.9787234042553193E-2</v>
      </c>
      <c r="B31" s="1">
        <f t="shared" si="12"/>
        <v>1</v>
      </c>
      <c r="C31" s="1">
        <f t="shared" si="13"/>
        <v>2.9787234042553193E-2</v>
      </c>
      <c r="D31" s="1">
        <f t="shared" si="14"/>
        <v>0</v>
      </c>
      <c r="E31" s="10" t="str">
        <f>VLOOKUP(_xlfn.NUMBERVALUE(F31),Sheet2!$A$1:$B$29,2,FALSE)</f>
        <v>Biak Numfor</v>
      </c>
      <c r="F31" s="2" t="s">
        <v>2</v>
      </c>
      <c r="G31">
        <f t="shared" si="7"/>
        <v>28</v>
      </c>
      <c r="H31">
        <f t="shared" si="7"/>
        <v>0</v>
      </c>
      <c r="I31">
        <f t="shared" si="15"/>
        <v>28</v>
      </c>
      <c r="J31" s="1">
        <f t="shared" si="7"/>
        <v>1.18</v>
      </c>
      <c r="K31">
        <f t="shared" si="7"/>
        <v>5</v>
      </c>
      <c r="L31">
        <f t="shared" si="7"/>
        <v>0</v>
      </c>
      <c r="M31">
        <f t="shared" si="16"/>
        <v>5</v>
      </c>
      <c r="N31" s="1">
        <f t="shared" si="7"/>
        <v>1</v>
      </c>
      <c r="O31" t="str">
        <f t="shared" si="7"/>
        <v/>
      </c>
      <c r="P31" t="str">
        <f t="shared" si="7"/>
        <v/>
      </c>
      <c r="Q31" t="str">
        <f t="shared" si="8"/>
        <v/>
      </c>
      <c r="R31" s="1" t="str">
        <f t="shared" si="8"/>
        <v/>
      </c>
      <c r="S31" t="str">
        <f t="shared" si="8"/>
        <v/>
      </c>
      <c r="T31" t="str">
        <f t="shared" si="8"/>
        <v/>
      </c>
      <c r="U31" t="str">
        <f t="shared" si="8"/>
        <v/>
      </c>
      <c r="V31" s="1" t="str">
        <f t="shared" si="8"/>
        <v/>
      </c>
      <c r="W31" t="str">
        <f t="shared" si="8"/>
        <v/>
      </c>
      <c r="X31" t="str">
        <f t="shared" si="8"/>
        <v/>
      </c>
      <c r="Y31" t="str">
        <f t="shared" si="8"/>
        <v/>
      </c>
      <c r="Z31" s="1" t="str">
        <f t="shared" si="8"/>
        <v/>
      </c>
      <c r="AA31" t="str">
        <f t="shared" si="9"/>
        <v/>
      </c>
      <c r="AB31" t="str">
        <f t="shared" si="9"/>
        <v/>
      </c>
      <c r="AC31" t="str">
        <f t="shared" si="9"/>
        <v/>
      </c>
      <c r="AD31" s="1" t="str">
        <f t="shared" si="9"/>
        <v/>
      </c>
      <c r="AE31" t="str">
        <f t="shared" si="9"/>
        <v/>
      </c>
      <c r="AF31" t="str">
        <f t="shared" si="9"/>
        <v/>
      </c>
      <c r="AG31" t="str">
        <f t="shared" si="9"/>
        <v/>
      </c>
      <c r="AH31" s="1" t="str">
        <f t="shared" si="10"/>
        <v/>
      </c>
      <c r="AI31" t="str">
        <f t="shared" si="10"/>
        <v/>
      </c>
      <c r="AJ31" t="str">
        <f t="shared" si="10"/>
        <v/>
      </c>
      <c r="AK31" t="str">
        <f t="shared" si="10"/>
        <v/>
      </c>
      <c r="AL31" s="1" t="str">
        <f t="shared" si="10"/>
        <v/>
      </c>
      <c r="AM31" t="str">
        <f t="shared" si="10"/>
        <v/>
      </c>
      <c r="AN31" t="str">
        <f t="shared" si="10"/>
        <v/>
      </c>
      <c r="AO31" t="str">
        <f t="shared" si="10"/>
        <v/>
      </c>
      <c r="AP31" s="1" t="str">
        <f t="shared" si="10"/>
        <v/>
      </c>
    </row>
    <row r="32" spans="1:45" x14ac:dyDescent="0.2">
      <c r="A32" s="10">
        <f t="shared" si="11"/>
        <v>5.3191489361702128E-2</v>
      </c>
      <c r="B32" s="1">
        <f t="shared" si="12"/>
        <v>1</v>
      </c>
      <c r="C32" s="1">
        <f t="shared" si="13"/>
        <v>5.3191489361702128E-2</v>
      </c>
      <c r="D32" s="1">
        <f t="shared" si="14"/>
        <v>0</v>
      </c>
      <c r="E32" s="10" t="str">
        <f>VLOOKUP(_xlfn.NUMBERVALUE(F32),Sheet2!$A$1:$B$29,2,FALSE)</f>
        <v>Sarmi</v>
      </c>
      <c r="F32" s="2" t="s">
        <v>3</v>
      </c>
      <c r="G32">
        <f t="shared" si="7"/>
        <v>50</v>
      </c>
      <c r="H32">
        <f t="shared" si="7"/>
        <v>0</v>
      </c>
      <c r="I32">
        <f t="shared" si="15"/>
        <v>50</v>
      </c>
      <c r="J32" s="1">
        <f t="shared" si="7"/>
        <v>1</v>
      </c>
      <c r="K32" t="str">
        <f t="shared" si="7"/>
        <v/>
      </c>
      <c r="L32" t="str">
        <f t="shared" si="7"/>
        <v/>
      </c>
      <c r="M32" t="str">
        <f t="shared" si="16"/>
        <v/>
      </c>
      <c r="N32" s="1" t="str">
        <f t="shared" si="7"/>
        <v/>
      </c>
      <c r="O32" t="str">
        <f t="shared" si="7"/>
        <v/>
      </c>
      <c r="P32" t="str">
        <f t="shared" si="7"/>
        <v/>
      </c>
      <c r="Q32" t="str">
        <f t="shared" si="8"/>
        <v/>
      </c>
      <c r="R32" s="1" t="str">
        <f t="shared" si="8"/>
        <v/>
      </c>
      <c r="S32" t="str">
        <f t="shared" si="8"/>
        <v/>
      </c>
      <c r="T32" t="str">
        <f t="shared" si="8"/>
        <v/>
      </c>
      <c r="U32" t="str">
        <f t="shared" si="8"/>
        <v/>
      </c>
      <c r="V32" s="1" t="str">
        <f t="shared" si="8"/>
        <v/>
      </c>
      <c r="W32" t="str">
        <f t="shared" si="8"/>
        <v/>
      </c>
      <c r="X32" t="str">
        <f t="shared" si="8"/>
        <v/>
      </c>
      <c r="Y32" t="str">
        <f t="shared" si="8"/>
        <v/>
      </c>
      <c r="Z32" s="1" t="str">
        <f t="shared" si="8"/>
        <v/>
      </c>
      <c r="AA32" t="str">
        <f t="shared" si="9"/>
        <v/>
      </c>
      <c r="AB32" t="str">
        <f t="shared" si="9"/>
        <v/>
      </c>
      <c r="AC32" t="str">
        <f t="shared" si="9"/>
        <v/>
      </c>
      <c r="AD32" s="1" t="str">
        <f t="shared" si="9"/>
        <v/>
      </c>
      <c r="AE32" t="str">
        <f t="shared" si="9"/>
        <v/>
      </c>
      <c r="AF32" t="str">
        <f t="shared" si="9"/>
        <v/>
      </c>
      <c r="AG32" t="str">
        <f t="shared" si="9"/>
        <v/>
      </c>
      <c r="AH32" s="1" t="str">
        <f t="shared" si="10"/>
        <v/>
      </c>
      <c r="AI32" t="str">
        <f t="shared" si="10"/>
        <v/>
      </c>
      <c r="AJ32" t="str">
        <f t="shared" si="10"/>
        <v/>
      </c>
      <c r="AK32" t="str">
        <f t="shared" si="10"/>
        <v/>
      </c>
      <c r="AL32" s="1" t="str">
        <f t="shared" si="10"/>
        <v/>
      </c>
      <c r="AM32" t="str">
        <f t="shared" si="10"/>
        <v/>
      </c>
      <c r="AN32" t="str">
        <f t="shared" si="10"/>
        <v/>
      </c>
      <c r="AO32" t="str">
        <f t="shared" si="10"/>
        <v/>
      </c>
      <c r="AP32" s="1" t="str">
        <f t="shared" si="10"/>
        <v/>
      </c>
    </row>
    <row r="33" spans="1:42" x14ac:dyDescent="0.2">
      <c r="A33" s="10">
        <f t="shared" si="11"/>
        <v>3.5106382978723406E-2</v>
      </c>
      <c r="B33" s="1">
        <f t="shared" si="12"/>
        <v>1</v>
      </c>
      <c r="C33" s="1">
        <f t="shared" si="13"/>
        <v>3.5106382978723406E-2</v>
      </c>
      <c r="D33" s="1">
        <f t="shared" si="14"/>
        <v>0</v>
      </c>
      <c r="E33" s="10" t="str">
        <f>VLOOKUP(_xlfn.NUMBERVALUE(F33),Sheet2!$A$1:$B$29,2,FALSE)</f>
        <v>Keerom</v>
      </c>
      <c r="F33" s="2" t="s">
        <v>4</v>
      </c>
      <c r="G33">
        <f t="shared" si="7"/>
        <v>33</v>
      </c>
      <c r="H33">
        <f t="shared" si="7"/>
        <v>0</v>
      </c>
      <c r="I33">
        <f t="shared" si="15"/>
        <v>33</v>
      </c>
      <c r="J33" s="1">
        <f t="shared" si="7"/>
        <v>1</v>
      </c>
      <c r="K33" t="str">
        <f t="shared" si="7"/>
        <v/>
      </c>
      <c r="L33" t="str">
        <f t="shared" si="7"/>
        <v/>
      </c>
      <c r="M33" t="str">
        <f t="shared" si="16"/>
        <v/>
      </c>
      <c r="N33" s="1" t="str">
        <f t="shared" si="7"/>
        <v/>
      </c>
      <c r="O33" t="str">
        <f t="shared" si="7"/>
        <v/>
      </c>
      <c r="P33" t="str">
        <f t="shared" si="7"/>
        <v/>
      </c>
      <c r="Q33" t="str">
        <f t="shared" si="8"/>
        <v/>
      </c>
      <c r="R33" s="1" t="str">
        <f t="shared" si="8"/>
        <v/>
      </c>
      <c r="S33" t="str">
        <f t="shared" si="8"/>
        <v/>
      </c>
      <c r="T33" t="str">
        <f t="shared" si="8"/>
        <v/>
      </c>
      <c r="U33" t="str">
        <f t="shared" si="8"/>
        <v/>
      </c>
      <c r="V33" s="1" t="str">
        <f t="shared" si="8"/>
        <v/>
      </c>
      <c r="W33" t="str">
        <f t="shared" si="8"/>
        <v/>
      </c>
      <c r="X33" t="str">
        <f t="shared" si="8"/>
        <v/>
      </c>
      <c r="Y33" t="str">
        <f t="shared" si="8"/>
        <v/>
      </c>
      <c r="Z33" s="1" t="str">
        <f t="shared" si="8"/>
        <v/>
      </c>
      <c r="AA33" t="str">
        <f t="shared" si="9"/>
        <v/>
      </c>
      <c r="AB33" t="str">
        <f t="shared" si="9"/>
        <v/>
      </c>
      <c r="AC33" t="str">
        <f t="shared" si="9"/>
        <v/>
      </c>
      <c r="AD33" s="1" t="str">
        <f t="shared" si="9"/>
        <v/>
      </c>
      <c r="AE33" t="str">
        <f t="shared" si="9"/>
        <v/>
      </c>
      <c r="AF33" t="str">
        <f t="shared" si="9"/>
        <v/>
      </c>
      <c r="AG33" t="str">
        <f t="shared" si="9"/>
        <v/>
      </c>
      <c r="AH33" s="1" t="str">
        <f t="shared" si="10"/>
        <v/>
      </c>
      <c r="AI33" t="str">
        <f t="shared" si="10"/>
        <v/>
      </c>
      <c r="AJ33" t="str">
        <f t="shared" si="10"/>
        <v/>
      </c>
      <c r="AK33" t="str">
        <f t="shared" si="10"/>
        <v/>
      </c>
      <c r="AL33" s="1" t="str">
        <f t="shared" si="10"/>
        <v/>
      </c>
      <c r="AM33" t="str">
        <f t="shared" si="10"/>
        <v/>
      </c>
      <c r="AN33" t="str">
        <f t="shared" si="10"/>
        <v/>
      </c>
      <c r="AO33" t="str">
        <f t="shared" si="10"/>
        <v/>
      </c>
      <c r="AP33" s="1" t="str">
        <f t="shared" si="10"/>
        <v/>
      </c>
    </row>
    <row r="34" spans="1:42" x14ac:dyDescent="0.2">
      <c r="A34" s="10">
        <f t="shared" si="11"/>
        <v>1.0638297872340425E-2</v>
      </c>
      <c r="B34" s="1">
        <f t="shared" si="12"/>
        <v>1</v>
      </c>
      <c r="C34" s="1">
        <f t="shared" si="13"/>
        <v>1.0638297872340425E-2</v>
      </c>
      <c r="D34" s="1">
        <f t="shared" si="14"/>
        <v>0</v>
      </c>
      <c r="E34" s="10" t="str">
        <f>VLOOKUP(_xlfn.NUMBERVALUE(F34),Sheet2!$A$1:$B$29,2,FALSE)</f>
        <v>Waropen</v>
      </c>
      <c r="F34" s="2" t="s">
        <v>5</v>
      </c>
      <c r="G34">
        <f t="shared" si="7"/>
        <v>10</v>
      </c>
      <c r="H34">
        <f t="shared" si="7"/>
        <v>0</v>
      </c>
      <c r="I34">
        <f t="shared" si="15"/>
        <v>10</v>
      </c>
      <c r="J34" s="1">
        <f t="shared" si="7"/>
        <v>1</v>
      </c>
      <c r="K34" t="str">
        <f t="shared" si="7"/>
        <v/>
      </c>
      <c r="L34" t="str">
        <f t="shared" si="7"/>
        <v/>
      </c>
      <c r="M34" t="str">
        <f t="shared" si="16"/>
        <v/>
      </c>
      <c r="N34" s="1" t="str">
        <f t="shared" si="7"/>
        <v/>
      </c>
      <c r="O34" t="str">
        <f t="shared" si="7"/>
        <v/>
      </c>
      <c r="P34" t="str">
        <f t="shared" si="7"/>
        <v/>
      </c>
      <c r="Q34" t="str">
        <f t="shared" si="8"/>
        <v/>
      </c>
      <c r="R34" s="1" t="str">
        <f t="shared" si="8"/>
        <v/>
      </c>
      <c r="S34" t="str">
        <f t="shared" si="8"/>
        <v/>
      </c>
      <c r="T34" t="str">
        <f t="shared" si="8"/>
        <v/>
      </c>
      <c r="U34" t="str">
        <f t="shared" si="8"/>
        <v/>
      </c>
      <c r="V34" s="1" t="str">
        <f t="shared" si="8"/>
        <v/>
      </c>
      <c r="W34" t="str">
        <f t="shared" si="8"/>
        <v/>
      </c>
      <c r="X34" t="str">
        <f t="shared" si="8"/>
        <v/>
      </c>
      <c r="Y34" t="str">
        <f t="shared" si="8"/>
        <v/>
      </c>
      <c r="Z34" s="1" t="str">
        <f t="shared" si="8"/>
        <v/>
      </c>
      <c r="AA34" t="str">
        <f t="shared" si="9"/>
        <v/>
      </c>
      <c r="AB34" t="str">
        <f t="shared" si="9"/>
        <v/>
      </c>
      <c r="AC34" t="str">
        <f t="shared" si="9"/>
        <v/>
      </c>
      <c r="AD34" s="1" t="str">
        <f t="shared" si="9"/>
        <v/>
      </c>
      <c r="AE34" t="str">
        <f t="shared" si="9"/>
        <v/>
      </c>
      <c r="AF34" t="str">
        <f t="shared" si="9"/>
        <v/>
      </c>
      <c r="AG34" t="str">
        <f t="shared" si="9"/>
        <v/>
      </c>
      <c r="AH34" s="1" t="str">
        <f t="shared" si="10"/>
        <v/>
      </c>
      <c r="AI34" t="str">
        <f t="shared" si="10"/>
        <v/>
      </c>
      <c r="AJ34" t="str">
        <f t="shared" si="10"/>
        <v/>
      </c>
      <c r="AK34" t="str">
        <f t="shared" si="10"/>
        <v/>
      </c>
      <c r="AL34" s="1" t="str">
        <f t="shared" si="10"/>
        <v/>
      </c>
      <c r="AM34" t="str">
        <f t="shared" si="10"/>
        <v/>
      </c>
      <c r="AN34" t="str">
        <f t="shared" si="10"/>
        <v/>
      </c>
      <c r="AO34" t="str">
        <f t="shared" si="10"/>
        <v/>
      </c>
      <c r="AP34" s="1" t="str">
        <f t="shared" si="10"/>
        <v/>
      </c>
    </row>
    <row r="35" spans="1:42" x14ac:dyDescent="0.2">
      <c r="A35" s="10">
        <f t="shared" si="11"/>
        <v>3.0851063829787233E-2</v>
      </c>
      <c r="B35" s="1">
        <f t="shared" si="12"/>
        <v>1</v>
      </c>
      <c r="C35" s="1">
        <f t="shared" si="13"/>
        <v>3.0851063829787233E-2</v>
      </c>
      <c r="D35" s="1">
        <f t="shared" si="14"/>
        <v>0</v>
      </c>
      <c r="E35" s="10" t="str">
        <f>VLOOKUP(_xlfn.NUMBERVALUE(F35),Sheet2!$A$1:$B$29,2,FALSE)</f>
        <v>Supiori</v>
      </c>
      <c r="F35" s="2" t="s">
        <v>6</v>
      </c>
      <c r="G35">
        <f t="shared" si="7"/>
        <v>29</v>
      </c>
      <c r="H35">
        <f t="shared" si="7"/>
        <v>0</v>
      </c>
      <c r="I35">
        <f t="shared" si="15"/>
        <v>29</v>
      </c>
      <c r="J35" s="1">
        <f t="shared" si="7"/>
        <v>1</v>
      </c>
      <c r="K35" t="str">
        <f t="shared" si="7"/>
        <v/>
      </c>
      <c r="L35" t="str">
        <f t="shared" si="7"/>
        <v/>
      </c>
      <c r="M35" t="str">
        <f t="shared" si="16"/>
        <v/>
      </c>
      <c r="N35" s="1" t="str">
        <f t="shared" si="7"/>
        <v/>
      </c>
      <c r="O35" t="str">
        <f t="shared" si="7"/>
        <v/>
      </c>
      <c r="P35" t="str">
        <f t="shared" si="7"/>
        <v/>
      </c>
      <c r="Q35" t="str">
        <f t="shared" si="8"/>
        <v/>
      </c>
      <c r="R35" s="1" t="str">
        <f t="shared" si="8"/>
        <v/>
      </c>
      <c r="S35" t="str">
        <f t="shared" si="8"/>
        <v/>
      </c>
      <c r="T35" t="str">
        <f t="shared" si="8"/>
        <v/>
      </c>
      <c r="U35" t="str">
        <f t="shared" si="8"/>
        <v/>
      </c>
      <c r="V35" s="1" t="str">
        <f t="shared" si="8"/>
        <v/>
      </c>
      <c r="W35" t="str">
        <f t="shared" si="8"/>
        <v/>
      </c>
      <c r="X35" t="str">
        <f t="shared" si="8"/>
        <v/>
      </c>
      <c r="Y35" t="str">
        <f t="shared" si="8"/>
        <v/>
      </c>
      <c r="Z35" s="1" t="str">
        <f t="shared" si="8"/>
        <v/>
      </c>
      <c r="AA35" t="str">
        <f t="shared" si="9"/>
        <v/>
      </c>
      <c r="AB35" t="str">
        <f t="shared" si="9"/>
        <v/>
      </c>
      <c r="AC35" t="str">
        <f t="shared" si="9"/>
        <v/>
      </c>
      <c r="AD35" s="1" t="str">
        <f t="shared" si="9"/>
        <v/>
      </c>
      <c r="AE35" t="str">
        <f t="shared" si="9"/>
        <v/>
      </c>
      <c r="AF35" t="str">
        <f t="shared" si="9"/>
        <v/>
      </c>
      <c r="AG35" t="str">
        <f t="shared" si="9"/>
        <v/>
      </c>
      <c r="AH35" s="1" t="str">
        <f t="shared" si="10"/>
        <v/>
      </c>
      <c r="AI35" t="str">
        <f t="shared" si="10"/>
        <v/>
      </c>
      <c r="AJ35" t="str">
        <f t="shared" si="10"/>
        <v/>
      </c>
      <c r="AK35" t="str">
        <f t="shared" si="10"/>
        <v/>
      </c>
      <c r="AL35" s="1" t="str">
        <f t="shared" si="10"/>
        <v/>
      </c>
      <c r="AM35" t="str">
        <f t="shared" si="10"/>
        <v/>
      </c>
      <c r="AN35" t="str">
        <f t="shared" si="10"/>
        <v/>
      </c>
      <c r="AO35" t="str">
        <f t="shared" si="10"/>
        <v/>
      </c>
      <c r="AP35" s="1" t="str">
        <f t="shared" si="10"/>
        <v/>
      </c>
    </row>
    <row r="36" spans="1:42" x14ac:dyDescent="0.2">
      <c r="A36" s="10">
        <f t="shared" si="11"/>
        <v>5.3191489361702126E-3</v>
      </c>
      <c r="B36" s="1">
        <f t="shared" si="12"/>
        <v>1</v>
      </c>
      <c r="C36" s="1">
        <f t="shared" si="13"/>
        <v>5.3191489361702126E-3</v>
      </c>
      <c r="D36" s="1">
        <f t="shared" si="14"/>
        <v>0</v>
      </c>
      <c r="E36" s="10" t="str">
        <f>VLOOKUP(_xlfn.NUMBERVALUE(F36),Sheet2!$A$1:$B$29,2,FALSE)</f>
        <v>Mamberamo Raya</v>
      </c>
      <c r="F36" s="2" t="s">
        <v>7</v>
      </c>
      <c r="G36">
        <f t="shared" si="7"/>
        <v>5</v>
      </c>
      <c r="H36">
        <f t="shared" si="7"/>
        <v>0</v>
      </c>
      <c r="I36">
        <f t="shared" si="15"/>
        <v>5</v>
      </c>
      <c r="J36" s="1">
        <f t="shared" si="7"/>
        <v>1</v>
      </c>
      <c r="K36" t="str">
        <f t="shared" si="7"/>
        <v/>
      </c>
      <c r="L36" t="str">
        <f t="shared" si="7"/>
        <v/>
      </c>
      <c r="M36" t="str">
        <f t="shared" si="16"/>
        <v/>
      </c>
      <c r="N36" s="1" t="str">
        <f t="shared" si="7"/>
        <v/>
      </c>
      <c r="O36" t="str">
        <f t="shared" si="7"/>
        <v/>
      </c>
      <c r="P36" t="str">
        <f t="shared" si="7"/>
        <v/>
      </c>
      <c r="Q36" t="str">
        <f t="shared" si="8"/>
        <v/>
      </c>
      <c r="R36" s="1" t="str">
        <f t="shared" si="8"/>
        <v/>
      </c>
      <c r="S36" t="str">
        <f t="shared" si="8"/>
        <v/>
      </c>
      <c r="T36" t="str">
        <f t="shared" si="8"/>
        <v/>
      </c>
      <c r="U36" t="str">
        <f t="shared" si="8"/>
        <v/>
      </c>
      <c r="V36" s="1" t="str">
        <f t="shared" si="8"/>
        <v/>
      </c>
      <c r="W36" t="str">
        <f t="shared" si="8"/>
        <v/>
      </c>
      <c r="X36" t="str">
        <f t="shared" si="8"/>
        <v/>
      </c>
      <c r="Y36" t="str">
        <f t="shared" si="8"/>
        <v/>
      </c>
      <c r="Z36" s="1" t="str">
        <f t="shared" si="8"/>
        <v/>
      </c>
      <c r="AA36" t="str">
        <f t="shared" si="9"/>
        <v/>
      </c>
      <c r="AB36" t="str">
        <f t="shared" si="9"/>
        <v/>
      </c>
      <c r="AC36" t="str">
        <f t="shared" si="9"/>
        <v/>
      </c>
      <c r="AD36" s="1" t="str">
        <f t="shared" si="9"/>
        <v/>
      </c>
      <c r="AE36" t="str">
        <f t="shared" si="9"/>
        <v/>
      </c>
      <c r="AF36" t="str">
        <f t="shared" si="9"/>
        <v/>
      </c>
      <c r="AG36" t="str">
        <f t="shared" si="9"/>
        <v/>
      </c>
      <c r="AH36" s="1" t="str">
        <f t="shared" si="10"/>
        <v/>
      </c>
      <c r="AI36" t="str">
        <f t="shared" si="10"/>
        <v/>
      </c>
      <c r="AJ36" t="str">
        <f t="shared" si="10"/>
        <v/>
      </c>
      <c r="AK36" t="str">
        <f t="shared" si="10"/>
        <v/>
      </c>
      <c r="AL36" s="1" t="str">
        <f t="shared" si="10"/>
        <v/>
      </c>
      <c r="AM36" t="str">
        <f t="shared" si="10"/>
        <v/>
      </c>
      <c r="AN36" t="str">
        <f t="shared" si="10"/>
        <v/>
      </c>
      <c r="AO36" t="str">
        <f t="shared" si="10"/>
        <v/>
      </c>
      <c r="AP36" s="1" t="str">
        <f t="shared" si="10"/>
        <v/>
      </c>
    </row>
    <row r="37" spans="1:42" x14ac:dyDescent="0.2">
      <c r="A37" s="10">
        <f t="shared" si="11"/>
        <v>0.10106382978723404</v>
      </c>
      <c r="B37" s="1">
        <f t="shared" si="12"/>
        <v>1</v>
      </c>
      <c r="C37" s="1">
        <f t="shared" si="13"/>
        <v>0.10106382978723404</v>
      </c>
      <c r="D37" s="1">
        <f t="shared" si="14"/>
        <v>0</v>
      </c>
      <c r="E37" s="10" t="str">
        <f>VLOOKUP(_xlfn.NUMBERVALUE(F37),Sheet2!$A$1:$B$29,2,FALSE)</f>
        <v>Kota Jayapura</v>
      </c>
      <c r="F37" s="2" t="s">
        <v>8</v>
      </c>
      <c r="G37">
        <f t="shared" si="7"/>
        <v>95</v>
      </c>
      <c r="H37">
        <f t="shared" si="7"/>
        <v>0</v>
      </c>
      <c r="I37">
        <f t="shared" si="15"/>
        <v>95</v>
      </c>
      <c r="J37" s="1">
        <f t="shared" si="7"/>
        <v>1.01</v>
      </c>
      <c r="K37">
        <f t="shared" si="7"/>
        <v>44</v>
      </c>
      <c r="L37">
        <f t="shared" si="7"/>
        <v>0</v>
      </c>
      <c r="M37">
        <f t="shared" si="16"/>
        <v>44</v>
      </c>
      <c r="N37" s="1">
        <f t="shared" si="7"/>
        <v>1</v>
      </c>
      <c r="O37" t="str">
        <f t="shared" si="7"/>
        <v/>
      </c>
      <c r="P37" t="str">
        <f t="shared" si="7"/>
        <v/>
      </c>
      <c r="Q37" t="str">
        <f t="shared" si="8"/>
        <v/>
      </c>
      <c r="R37" s="1" t="str">
        <f t="shared" si="8"/>
        <v/>
      </c>
      <c r="S37" t="str">
        <f t="shared" si="8"/>
        <v/>
      </c>
      <c r="T37" t="str">
        <f t="shared" si="8"/>
        <v/>
      </c>
      <c r="U37" t="str">
        <f t="shared" si="8"/>
        <v/>
      </c>
      <c r="V37" s="1" t="str">
        <f t="shared" si="8"/>
        <v/>
      </c>
      <c r="W37" t="str">
        <f t="shared" si="8"/>
        <v/>
      </c>
      <c r="X37" t="str">
        <f t="shared" si="8"/>
        <v/>
      </c>
      <c r="Y37" t="str">
        <f t="shared" si="8"/>
        <v/>
      </c>
      <c r="Z37" s="1" t="str">
        <f t="shared" si="8"/>
        <v/>
      </c>
      <c r="AA37" t="str">
        <f t="shared" si="9"/>
        <v/>
      </c>
      <c r="AB37" t="str">
        <f t="shared" si="9"/>
        <v/>
      </c>
      <c r="AC37" t="str">
        <f t="shared" si="9"/>
        <v/>
      </c>
      <c r="AD37" s="1" t="str">
        <f t="shared" si="9"/>
        <v/>
      </c>
      <c r="AE37" t="str">
        <f t="shared" si="9"/>
        <v/>
      </c>
      <c r="AF37" t="str">
        <f t="shared" si="9"/>
        <v/>
      </c>
      <c r="AG37" t="str">
        <f t="shared" si="9"/>
        <v/>
      </c>
      <c r="AH37" s="1" t="str">
        <f t="shared" si="10"/>
        <v/>
      </c>
      <c r="AI37" t="str">
        <f t="shared" si="10"/>
        <v/>
      </c>
      <c r="AJ37" t="str">
        <f t="shared" si="10"/>
        <v/>
      </c>
      <c r="AK37" t="str">
        <f t="shared" si="10"/>
        <v/>
      </c>
      <c r="AL37" s="1" t="str">
        <f t="shared" si="10"/>
        <v/>
      </c>
      <c r="AM37" t="str">
        <f t="shared" si="10"/>
        <v/>
      </c>
      <c r="AN37" t="str">
        <f t="shared" si="10"/>
        <v/>
      </c>
      <c r="AO37" t="str">
        <f t="shared" si="10"/>
        <v/>
      </c>
      <c r="AP37" s="1" t="str">
        <f t="shared" si="10"/>
        <v/>
      </c>
    </row>
    <row r="38" spans="1:42" x14ac:dyDescent="0.2">
      <c r="A38" s="10" t="str">
        <f t="shared" si="11"/>
        <v/>
      </c>
      <c r="B38" s="1" t="str">
        <f t="shared" si="12"/>
        <v/>
      </c>
      <c r="C38" s="1" t="str">
        <f t="shared" si="13"/>
        <v/>
      </c>
      <c r="D38" s="1" t="str">
        <f t="shared" si="14"/>
        <v/>
      </c>
      <c r="E38" s="10"/>
      <c r="F38" s="4" t="s">
        <v>20</v>
      </c>
      <c r="G38" s="5" t="str">
        <f t="shared" ref="G38:P47" si="17">IFERROR(IF(VLOOKUP($F38,$F$4:$AP$27,G$27,FALSE)="","",VLOOKUP($F38,$F$4:$AP$27,G$27,FALSE)),"")</f>
        <v/>
      </c>
      <c r="H38" s="6" t="str">
        <f t="shared" si="17"/>
        <v/>
      </c>
      <c r="I38" s="6" t="str">
        <f t="shared" si="15"/>
        <v/>
      </c>
      <c r="J38" s="5" t="str">
        <f t="shared" si="17"/>
        <v/>
      </c>
      <c r="K38" s="6" t="str">
        <f t="shared" si="17"/>
        <v/>
      </c>
      <c r="L38" s="6" t="str">
        <f t="shared" si="17"/>
        <v/>
      </c>
      <c r="M38" s="5" t="str">
        <f t="shared" si="16"/>
        <v/>
      </c>
      <c r="N38" s="5" t="str">
        <f t="shared" si="17"/>
        <v/>
      </c>
      <c r="O38" s="6" t="str">
        <f t="shared" si="17"/>
        <v/>
      </c>
      <c r="P38" s="5" t="str">
        <f t="shared" si="17"/>
        <v/>
      </c>
      <c r="Q38" s="6" t="str">
        <f t="shared" ref="Q38:Z47" si="18">IFERROR(IF(VLOOKUP($F38,$F$4:$AP$27,Q$27,FALSE)="","",VLOOKUP($F38,$F$4:$AP$27,Q$27,FALSE)),"")</f>
        <v/>
      </c>
      <c r="R38" s="6"/>
      <c r="S38" s="5" t="str">
        <f t="shared" si="18"/>
        <v/>
      </c>
      <c r="T38" s="6" t="str">
        <f t="shared" si="18"/>
        <v/>
      </c>
      <c r="U38" s="6" t="str">
        <f t="shared" si="18"/>
        <v/>
      </c>
      <c r="V38" s="5" t="str">
        <f t="shared" si="18"/>
        <v/>
      </c>
      <c r="W38" s="6" t="str">
        <f t="shared" si="18"/>
        <v/>
      </c>
      <c r="X38" s="6" t="str">
        <f t="shared" si="18"/>
        <v/>
      </c>
      <c r="Y38" s="5" t="str">
        <f t="shared" si="18"/>
        <v/>
      </c>
      <c r="Z38" s="5" t="str">
        <f t="shared" si="18"/>
        <v/>
      </c>
      <c r="AA38" s="6" t="str">
        <f t="shared" ref="AA38:AG47" si="19">IFERROR(IF(VLOOKUP($F38,$F$4:$AP$27,AA$27,FALSE)="","",VLOOKUP($F38,$F$4:$AP$27,AA$27,FALSE)),"")</f>
        <v/>
      </c>
      <c r="AB38" s="5" t="str">
        <f t="shared" si="19"/>
        <v/>
      </c>
      <c r="AC38" s="6" t="str">
        <f t="shared" si="19"/>
        <v/>
      </c>
      <c r="AD38" s="6" t="str">
        <f t="shared" si="19"/>
        <v/>
      </c>
      <c r="AE38" s="5" t="str">
        <f t="shared" si="19"/>
        <v/>
      </c>
      <c r="AF38" s="6" t="str">
        <f t="shared" si="19"/>
        <v/>
      </c>
      <c r="AG38" s="6" t="str">
        <f t="shared" si="19"/>
        <v/>
      </c>
      <c r="AH38" s="5" t="str">
        <f t="shared" si="10"/>
        <v/>
      </c>
      <c r="AI38" s="5" t="str">
        <f t="shared" si="10"/>
        <v/>
      </c>
      <c r="AJ38" s="5" t="str">
        <f t="shared" si="10"/>
        <v/>
      </c>
      <c r="AK38" s="5" t="str">
        <f t="shared" si="10"/>
        <v/>
      </c>
      <c r="AL38" s="5" t="str">
        <f t="shared" si="10"/>
        <v/>
      </c>
      <c r="AM38" s="5" t="str">
        <f t="shared" si="10"/>
        <v/>
      </c>
      <c r="AN38" s="5" t="str">
        <f t="shared" si="10"/>
        <v/>
      </c>
      <c r="AO38" s="5" t="str">
        <f t="shared" si="10"/>
        <v/>
      </c>
      <c r="AP38" s="5" t="str">
        <f t="shared" si="10"/>
        <v/>
      </c>
    </row>
    <row r="39" spans="1:42" x14ac:dyDescent="0.2">
      <c r="A39" s="10">
        <f t="shared" si="11"/>
        <v>0.21595744680851064</v>
      </c>
      <c r="B39" s="1">
        <f t="shared" si="12"/>
        <v>0.99507389162561577</v>
      </c>
      <c r="C39" s="1">
        <f t="shared" si="13"/>
        <v>0.2148936170212766</v>
      </c>
      <c r="D39" s="1">
        <f t="shared" si="14"/>
        <v>1.0638297872340441E-3</v>
      </c>
      <c r="E39" s="10" t="str">
        <f>VLOOKUP(_xlfn.NUMBERVALUE(F39),Sheet2!$A$1:$B$29,2,FALSE)</f>
        <v>Merauke</v>
      </c>
      <c r="F39" s="2" t="s">
        <v>9</v>
      </c>
      <c r="G39">
        <f t="shared" si="17"/>
        <v>203</v>
      </c>
      <c r="H39">
        <f t="shared" si="17"/>
        <v>0</v>
      </c>
      <c r="I39">
        <f t="shared" si="15"/>
        <v>202</v>
      </c>
      <c r="J39" s="1">
        <f t="shared" si="17"/>
        <v>1</v>
      </c>
      <c r="K39">
        <f t="shared" si="17"/>
        <v>14</v>
      </c>
      <c r="L39">
        <f t="shared" si="17"/>
        <v>0</v>
      </c>
      <c r="M39">
        <f t="shared" si="16"/>
        <v>14</v>
      </c>
      <c r="N39" s="1">
        <f t="shared" si="17"/>
        <v>1</v>
      </c>
      <c r="O39" t="str">
        <f t="shared" si="17"/>
        <v/>
      </c>
      <c r="P39" t="str">
        <f t="shared" si="17"/>
        <v/>
      </c>
      <c r="Q39" t="str">
        <f t="shared" si="18"/>
        <v/>
      </c>
      <c r="R39" s="1" t="str">
        <f t="shared" si="18"/>
        <v/>
      </c>
      <c r="S39" t="str">
        <f t="shared" si="18"/>
        <v/>
      </c>
      <c r="T39" t="str">
        <f t="shared" si="18"/>
        <v/>
      </c>
      <c r="U39" t="str">
        <f t="shared" si="18"/>
        <v/>
      </c>
      <c r="V39" s="1" t="str">
        <f t="shared" si="18"/>
        <v/>
      </c>
      <c r="W39" t="str">
        <f t="shared" si="18"/>
        <v/>
      </c>
      <c r="X39" t="str">
        <f t="shared" si="18"/>
        <v/>
      </c>
      <c r="Y39" t="str">
        <f t="shared" si="18"/>
        <v/>
      </c>
      <c r="Z39" s="1" t="str">
        <f t="shared" si="18"/>
        <v/>
      </c>
      <c r="AA39" t="str">
        <f t="shared" si="19"/>
        <v/>
      </c>
      <c r="AB39" t="str">
        <f t="shared" si="19"/>
        <v/>
      </c>
      <c r="AC39" t="str">
        <f t="shared" si="19"/>
        <v/>
      </c>
      <c r="AD39" s="1" t="str">
        <f t="shared" si="19"/>
        <v/>
      </c>
      <c r="AE39" t="str">
        <f t="shared" si="19"/>
        <v/>
      </c>
      <c r="AF39" t="str">
        <f t="shared" si="19"/>
        <v/>
      </c>
      <c r="AG39" t="str">
        <f t="shared" si="19"/>
        <v/>
      </c>
      <c r="AH39" s="1" t="str">
        <f t="shared" ref="AH39:AP48" si="20">IFERROR(IF(VLOOKUP($F39,$F$4:$AP$27,AH$27,FALSE)="","",VLOOKUP($F39,$F$4:$AP$27,AH$27,FALSE)),"")</f>
        <v/>
      </c>
      <c r="AI39" t="str">
        <f t="shared" si="20"/>
        <v/>
      </c>
      <c r="AJ39" t="str">
        <f t="shared" si="20"/>
        <v/>
      </c>
      <c r="AK39" t="str">
        <f t="shared" si="20"/>
        <v/>
      </c>
      <c r="AL39" s="1" t="str">
        <f t="shared" si="20"/>
        <v/>
      </c>
      <c r="AM39" t="str">
        <f t="shared" si="20"/>
        <v/>
      </c>
      <c r="AN39" t="str">
        <f t="shared" si="20"/>
        <v/>
      </c>
      <c r="AO39" t="str">
        <f t="shared" si="20"/>
        <v/>
      </c>
      <c r="AP39" s="1" t="str">
        <f t="shared" si="20"/>
        <v/>
      </c>
    </row>
    <row r="40" spans="1:42" x14ac:dyDescent="0.2">
      <c r="A40" s="10">
        <f t="shared" si="11"/>
        <v>6.1702127659574467E-2</v>
      </c>
      <c r="B40" s="1">
        <f t="shared" si="12"/>
        <v>1</v>
      </c>
      <c r="C40" s="1">
        <f t="shared" si="13"/>
        <v>6.1702127659574467E-2</v>
      </c>
      <c r="D40" s="1">
        <f t="shared" si="14"/>
        <v>0</v>
      </c>
      <c r="E40" s="10" t="str">
        <f>VLOOKUP(_xlfn.NUMBERVALUE(F40),Sheet2!$A$1:$B$29,2,FALSE)</f>
        <v>Boven Digoel</v>
      </c>
      <c r="F40" s="2" t="s">
        <v>10</v>
      </c>
      <c r="G40">
        <f t="shared" si="17"/>
        <v>58</v>
      </c>
      <c r="H40">
        <f t="shared" si="17"/>
        <v>0</v>
      </c>
      <c r="I40">
        <f t="shared" si="15"/>
        <v>58</v>
      </c>
      <c r="J40" s="1">
        <f t="shared" si="17"/>
        <v>1</v>
      </c>
      <c r="K40">
        <f t="shared" si="17"/>
        <v>4</v>
      </c>
      <c r="L40">
        <f t="shared" si="17"/>
        <v>0</v>
      </c>
      <c r="M40">
        <f t="shared" si="16"/>
        <v>2</v>
      </c>
      <c r="N40" s="1">
        <f t="shared" si="17"/>
        <v>0.5</v>
      </c>
      <c r="O40" t="str">
        <f t="shared" si="17"/>
        <v/>
      </c>
      <c r="P40" t="str">
        <f t="shared" si="17"/>
        <v/>
      </c>
      <c r="Q40" t="str">
        <f t="shared" si="18"/>
        <v/>
      </c>
      <c r="R40" s="1" t="str">
        <f t="shared" si="18"/>
        <v/>
      </c>
      <c r="S40" t="str">
        <f t="shared" si="18"/>
        <v/>
      </c>
      <c r="T40" t="str">
        <f t="shared" si="18"/>
        <v/>
      </c>
      <c r="U40" t="str">
        <f t="shared" si="18"/>
        <v/>
      </c>
      <c r="V40" s="1" t="str">
        <f t="shared" si="18"/>
        <v/>
      </c>
      <c r="W40" t="str">
        <f t="shared" si="18"/>
        <v/>
      </c>
      <c r="X40" t="str">
        <f t="shared" si="18"/>
        <v/>
      </c>
      <c r="Y40" t="str">
        <f t="shared" si="18"/>
        <v/>
      </c>
      <c r="Z40" s="1" t="str">
        <f t="shared" si="18"/>
        <v/>
      </c>
      <c r="AA40" t="str">
        <f t="shared" si="19"/>
        <v/>
      </c>
      <c r="AB40" t="str">
        <f t="shared" si="19"/>
        <v/>
      </c>
      <c r="AC40" t="str">
        <f t="shared" si="19"/>
        <v/>
      </c>
      <c r="AD40" s="1" t="str">
        <f t="shared" si="19"/>
        <v/>
      </c>
      <c r="AE40" t="str">
        <f t="shared" si="19"/>
        <v/>
      </c>
      <c r="AF40" t="str">
        <f t="shared" si="19"/>
        <v/>
      </c>
      <c r="AG40" t="str">
        <f t="shared" si="19"/>
        <v/>
      </c>
      <c r="AH40" s="1" t="str">
        <f t="shared" si="20"/>
        <v/>
      </c>
      <c r="AI40" t="str">
        <f t="shared" si="20"/>
        <v/>
      </c>
      <c r="AJ40" t="str">
        <f t="shared" si="20"/>
        <v/>
      </c>
      <c r="AK40" t="str">
        <f t="shared" si="20"/>
        <v/>
      </c>
      <c r="AL40" s="1" t="str">
        <f t="shared" si="20"/>
        <v/>
      </c>
      <c r="AM40" t="str">
        <f t="shared" si="20"/>
        <v/>
      </c>
      <c r="AN40" t="str">
        <f t="shared" si="20"/>
        <v/>
      </c>
      <c r="AO40" t="str">
        <f t="shared" si="20"/>
        <v/>
      </c>
      <c r="AP40" s="1" t="str">
        <f t="shared" si="20"/>
        <v/>
      </c>
    </row>
    <row r="41" spans="1:42" x14ac:dyDescent="0.2">
      <c r="A41" s="10">
        <f t="shared" si="11"/>
        <v>3.9361702127659576E-2</v>
      </c>
      <c r="B41" s="1">
        <f t="shared" si="12"/>
        <v>1</v>
      </c>
      <c r="C41" s="1">
        <f t="shared" si="13"/>
        <v>3.9361702127659576E-2</v>
      </c>
      <c r="D41" s="1">
        <f t="shared" si="14"/>
        <v>0</v>
      </c>
      <c r="E41" s="10" t="str">
        <f>VLOOKUP(_xlfn.NUMBERVALUE(F41),Sheet2!$A$1:$B$29,2,FALSE)</f>
        <v>Mappi</v>
      </c>
      <c r="F41" s="2" t="s">
        <v>11</v>
      </c>
      <c r="G41">
        <f t="shared" si="17"/>
        <v>37</v>
      </c>
      <c r="H41">
        <f t="shared" si="17"/>
        <v>0</v>
      </c>
      <c r="I41">
        <f t="shared" si="15"/>
        <v>37</v>
      </c>
      <c r="J41" s="1">
        <f t="shared" si="17"/>
        <v>1</v>
      </c>
      <c r="K41">
        <f t="shared" si="17"/>
        <v>6</v>
      </c>
      <c r="L41">
        <f t="shared" si="17"/>
        <v>0</v>
      </c>
      <c r="M41">
        <f t="shared" si="16"/>
        <v>6</v>
      </c>
      <c r="N41" s="1">
        <f t="shared" si="17"/>
        <v>1</v>
      </c>
      <c r="O41" t="str">
        <f t="shared" si="17"/>
        <v/>
      </c>
      <c r="P41" t="str">
        <f t="shared" si="17"/>
        <v/>
      </c>
      <c r="Q41" t="str">
        <f t="shared" si="18"/>
        <v/>
      </c>
      <c r="R41" s="1" t="str">
        <f t="shared" si="18"/>
        <v/>
      </c>
      <c r="S41" t="str">
        <f t="shared" si="18"/>
        <v/>
      </c>
      <c r="T41" t="str">
        <f t="shared" si="18"/>
        <v/>
      </c>
      <c r="U41" t="str">
        <f t="shared" si="18"/>
        <v/>
      </c>
      <c r="V41" s="1" t="str">
        <f t="shared" si="18"/>
        <v/>
      </c>
      <c r="W41" t="str">
        <f t="shared" si="18"/>
        <v/>
      </c>
      <c r="X41" t="str">
        <f t="shared" si="18"/>
        <v/>
      </c>
      <c r="Y41" t="str">
        <f t="shared" si="18"/>
        <v/>
      </c>
      <c r="Z41" s="1" t="str">
        <f t="shared" si="18"/>
        <v/>
      </c>
      <c r="AA41" t="str">
        <f t="shared" si="19"/>
        <v/>
      </c>
      <c r="AB41" t="str">
        <f t="shared" si="19"/>
        <v/>
      </c>
      <c r="AC41" t="str">
        <f t="shared" si="19"/>
        <v/>
      </c>
      <c r="AD41" s="1" t="str">
        <f t="shared" si="19"/>
        <v/>
      </c>
      <c r="AE41" t="str">
        <f t="shared" si="19"/>
        <v/>
      </c>
      <c r="AF41" t="str">
        <f t="shared" si="19"/>
        <v/>
      </c>
      <c r="AG41" t="str">
        <f t="shared" si="19"/>
        <v/>
      </c>
      <c r="AH41" s="1" t="str">
        <f t="shared" si="20"/>
        <v/>
      </c>
      <c r="AI41" t="str">
        <f t="shared" si="20"/>
        <v/>
      </c>
      <c r="AJ41" t="str">
        <f t="shared" si="20"/>
        <v/>
      </c>
      <c r="AK41" t="str">
        <f t="shared" si="20"/>
        <v/>
      </c>
      <c r="AL41" s="1" t="str">
        <f t="shared" si="20"/>
        <v/>
      </c>
      <c r="AM41" t="str">
        <f t="shared" si="20"/>
        <v/>
      </c>
      <c r="AN41" t="str">
        <f t="shared" si="20"/>
        <v/>
      </c>
      <c r="AO41" t="str">
        <f t="shared" si="20"/>
        <v/>
      </c>
      <c r="AP41" s="1" t="str">
        <f t="shared" si="20"/>
        <v/>
      </c>
    </row>
    <row r="42" spans="1:42" x14ac:dyDescent="0.2">
      <c r="A42" s="10">
        <f t="shared" si="11"/>
        <v>4.2553191489361701E-2</v>
      </c>
      <c r="B42" s="1">
        <f t="shared" si="12"/>
        <v>1</v>
      </c>
      <c r="C42" s="1">
        <f t="shared" si="13"/>
        <v>4.2553191489361701E-2</v>
      </c>
      <c r="D42" s="1">
        <f t="shared" si="14"/>
        <v>0</v>
      </c>
      <c r="E42" s="10" t="str">
        <f>VLOOKUP(_xlfn.NUMBERVALUE(F42),Sheet2!$A$1:$B$29,2,FALSE)</f>
        <v>Asmat</v>
      </c>
      <c r="F42" s="2" t="s">
        <v>12</v>
      </c>
      <c r="G42">
        <f t="shared" si="17"/>
        <v>40</v>
      </c>
      <c r="H42">
        <f t="shared" si="17"/>
        <v>0</v>
      </c>
      <c r="I42">
        <f t="shared" si="15"/>
        <v>40</v>
      </c>
      <c r="J42" s="1">
        <f t="shared" si="17"/>
        <v>1.08</v>
      </c>
      <c r="K42" t="str">
        <f t="shared" si="17"/>
        <v/>
      </c>
      <c r="L42" t="str">
        <f t="shared" si="17"/>
        <v/>
      </c>
      <c r="M42" t="str">
        <f t="shared" si="16"/>
        <v/>
      </c>
      <c r="N42" s="1" t="str">
        <f t="shared" si="17"/>
        <v/>
      </c>
      <c r="O42" t="str">
        <f t="shared" si="17"/>
        <v/>
      </c>
      <c r="P42" t="str">
        <f t="shared" si="17"/>
        <v/>
      </c>
      <c r="Q42" t="str">
        <f t="shared" si="18"/>
        <v/>
      </c>
      <c r="R42" s="1" t="str">
        <f t="shared" si="18"/>
        <v/>
      </c>
      <c r="S42" t="str">
        <f t="shared" si="18"/>
        <v/>
      </c>
      <c r="T42" t="str">
        <f t="shared" si="18"/>
        <v/>
      </c>
      <c r="U42" t="str">
        <f t="shared" si="18"/>
        <v/>
      </c>
      <c r="V42" s="1" t="str">
        <f t="shared" si="18"/>
        <v/>
      </c>
      <c r="W42" t="str">
        <f t="shared" si="18"/>
        <v/>
      </c>
      <c r="X42" t="str">
        <f t="shared" si="18"/>
        <v/>
      </c>
      <c r="Y42" t="str">
        <f t="shared" si="18"/>
        <v/>
      </c>
      <c r="Z42" s="1" t="str">
        <f t="shared" si="18"/>
        <v/>
      </c>
      <c r="AA42" t="str">
        <f t="shared" si="19"/>
        <v/>
      </c>
      <c r="AB42" t="str">
        <f t="shared" si="19"/>
        <v/>
      </c>
      <c r="AC42" t="str">
        <f t="shared" si="19"/>
        <v/>
      </c>
      <c r="AD42" s="1" t="str">
        <f t="shared" si="19"/>
        <v/>
      </c>
      <c r="AE42" t="str">
        <f t="shared" si="19"/>
        <v/>
      </c>
      <c r="AF42" t="str">
        <f t="shared" si="19"/>
        <v/>
      </c>
      <c r="AG42" t="str">
        <f t="shared" si="19"/>
        <v/>
      </c>
      <c r="AH42" s="1" t="str">
        <f t="shared" si="20"/>
        <v/>
      </c>
      <c r="AI42" t="str">
        <f t="shared" si="20"/>
        <v/>
      </c>
      <c r="AJ42" t="str">
        <f t="shared" si="20"/>
        <v/>
      </c>
      <c r="AK42" t="str">
        <f t="shared" si="20"/>
        <v/>
      </c>
      <c r="AL42" s="1" t="str">
        <f t="shared" si="20"/>
        <v/>
      </c>
      <c r="AM42" t="str">
        <f t="shared" si="20"/>
        <v/>
      </c>
      <c r="AN42" t="str">
        <f t="shared" si="20"/>
        <v/>
      </c>
      <c r="AO42" t="str">
        <f t="shared" si="20"/>
        <v/>
      </c>
      <c r="AP42" s="1" t="str">
        <f t="shared" si="20"/>
        <v/>
      </c>
    </row>
    <row r="43" spans="1:42" x14ac:dyDescent="0.2">
      <c r="A43" s="10" t="str">
        <f t="shared" si="11"/>
        <v/>
      </c>
      <c r="B43" s="1" t="str">
        <f t="shared" si="12"/>
        <v/>
      </c>
      <c r="C43" s="1" t="str">
        <f t="shared" si="13"/>
        <v/>
      </c>
      <c r="D43" s="1" t="str">
        <f t="shared" si="14"/>
        <v/>
      </c>
      <c r="E43" s="10"/>
      <c r="F43" s="4" t="s">
        <v>21</v>
      </c>
      <c r="G43" s="5" t="str">
        <f t="shared" si="17"/>
        <v/>
      </c>
      <c r="H43" s="6" t="str">
        <f t="shared" si="17"/>
        <v/>
      </c>
      <c r="I43" s="6" t="str">
        <f t="shared" si="15"/>
        <v/>
      </c>
      <c r="J43" s="5" t="str">
        <f t="shared" si="17"/>
        <v/>
      </c>
      <c r="K43" s="6" t="str">
        <f t="shared" si="17"/>
        <v/>
      </c>
      <c r="L43" s="6" t="str">
        <f t="shared" si="17"/>
        <v/>
      </c>
      <c r="M43" s="5" t="str">
        <f t="shared" si="16"/>
        <v/>
      </c>
      <c r="N43" s="5" t="str">
        <f t="shared" si="17"/>
        <v/>
      </c>
      <c r="O43" s="6" t="str">
        <f t="shared" si="17"/>
        <v/>
      </c>
      <c r="P43" s="5" t="str">
        <f t="shared" si="17"/>
        <v/>
      </c>
      <c r="Q43" s="6" t="str">
        <f t="shared" si="18"/>
        <v/>
      </c>
      <c r="R43" s="6"/>
      <c r="S43" s="5" t="str">
        <f t="shared" si="18"/>
        <v/>
      </c>
      <c r="T43" s="6" t="str">
        <f t="shared" si="18"/>
        <v/>
      </c>
      <c r="U43" s="6" t="str">
        <f t="shared" si="18"/>
        <v/>
      </c>
      <c r="V43" s="5" t="str">
        <f t="shared" si="18"/>
        <v/>
      </c>
      <c r="W43" s="6" t="str">
        <f t="shared" si="18"/>
        <v/>
      </c>
      <c r="X43" s="6" t="str">
        <f t="shared" si="18"/>
        <v/>
      </c>
      <c r="Y43" s="5" t="str">
        <f t="shared" si="18"/>
        <v/>
      </c>
      <c r="Z43" s="5" t="str">
        <f t="shared" si="18"/>
        <v/>
      </c>
      <c r="AA43" s="6" t="str">
        <f t="shared" si="19"/>
        <v/>
      </c>
      <c r="AB43" s="5" t="str">
        <f t="shared" si="19"/>
        <v/>
      </c>
      <c r="AC43" s="6" t="str">
        <f t="shared" si="19"/>
        <v/>
      </c>
      <c r="AD43" s="6" t="str">
        <f t="shared" si="19"/>
        <v/>
      </c>
      <c r="AE43" s="5" t="str">
        <f t="shared" si="19"/>
        <v/>
      </c>
      <c r="AF43" s="6" t="str">
        <f t="shared" si="19"/>
        <v/>
      </c>
      <c r="AG43" s="6" t="str">
        <f t="shared" si="19"/>
        <v/>
      </c>
      <c r="AH43" s="5" t="str">
        <f t="shared" si="20"/>
        <v/>
      </c>
      <c r="AI43" s="5" t="str">
        <f t="shared" si="20"/>
        <v/>
      </c>
      <c r="AJ43" s="5" t="str">
        <f t="shared" si="20"/>
        <v/>
      </c>
      <c r="AK43" s="5" t="str">
        <f t="shared" si="20"/>
        <v/>
      </c>
      <c r="AL43" s="5" t="str">
        <f t="shared" si="20"/>
        <v/>
      </c>
      <c r="AM43" s="5" t="str">
        <f t="shared" si="20"/>
        <v/>
      </c>
      <c r="AN43" s="5" t="str">
        <f t="shared" si="20"/>
        <v/>
      </c>
      <c r="AO43" s="5" t="str">
        <f t="shared" si="20"/>
        <v/>
      </c>
      <c r="AP43" s="5" t="str">
        <f t="shared" si="20"/>
        <v/>
      </c>
    </row>
    <row r="44" spans="1:42" x14ac:dyDescent="0.2">
      <c r="A44" s="10">
        <f t="shared" si="11"/>
        <v>0.13191489361702127</v>
      </c>
      <c r="B44" s="1">
        <f t="shared" si="12"/>
        <v>1</v>
      </c>
      <c r="C44" s="1">
        <f t="shared" si="13"/>
        <v>0.13191489361702127</v>
      </c>
      <c r="D44" s="1">
        <f t="shared" si="14"/>
        <v>0</v>
      </c>
      <c r="E44" s="10" t="str">
        <f>VLOOKUP(_xlfn.NUMBERVALUE(F44),Sheet2!$A$1:$B$29,2,FALSE)</f>
        <v>Mimika</v>
      </c>
      <c r="F44" s="2" t="s">
        <v>13</v>
      </c>
      <c r="G44">
        <f t="shared" si="17"/>
        <v>124</v>
      </c>
      <c r="H44">
        <f t="shared" si="17"/>
        <v>0</v>
      </c>
      <c r="I44">
        <f t="shared" si="15"/>
        <v>124</v>
      </c>
      <c r="J44" s="1">
        <f t="shared" si="17"/>
        <v>1.01</v>
      </c>
      <c r="K44">
        <f t="shared" si="17"/>
        <v>40</v>
      </c>
      <c r="L44">
        <f t="shared" si="17"/>
        <v>0</v>
      </c>
      <c r="M44">
        <f t="shared" si="16"/>
        <v>38</v>
      </c>
      <c r="N44" s="1">
        <f t="shared" si="17"/>
        <v>0.95</v>
      </c>
      <c r="O44" t="str">
        <f t="shared" si="17"/>
        <v/>
      </c>
      <c r="P44" t="str">
        <f t="shared" si="17"/>
        <v/>
      </c>
      <c r="Q44" t="str">
        <f t="shared" si="18"/>
        <v/>
      </c>
      <c r="R44" s="1" t="str">
        <f t="shared" si="18"/>
        <v/>
      </c>
      <c r="S44" t="str">
        <f t="shared" si="18"/>
        <v/>
      </c>
      <c r="T44" t="str">
        <f t="shared" si="18"/>
        <v/>
      </c>
      <c r="U44" t="str">
        <f t="shared" si="18"/>
        <v/>
      </c>
      <c r="V44" s="1" t="str">
        <f t="shared" si="18"/>
        <v/>
      </c>
      <c r="W44" t="str">
        <f t="shared" si="18"/>
        <v/>
      </c>
      <c r="X44" t="str">
        <f t="shared" si="18"/>
        <v/>
      </c>
      <c r="Y44" t="str">
        <f t="shared" si="18"/>
        <v/>
      </c>
      <c r="Z44" s="1" t="str">
        <f t="shared" si="18"/>
        <v/>
      </c>
      <c r="AA44" t="str">
        <f t="shared" si="19"/>
        <v/>
      </c>
      <c r="AB44" t="str">
        <f t="shared" si="19"/>
        <v/>
      </c>
      <c r="AC44" t="str">
        <f t="shared" si="19"/>
        <v/>
      </c>
      <c r="AD44" s="1" t="str">
        <f t="shared" si="19"/>
        <v/>
      </c>
      <c r="AE44" t="str">
        <f t="shared" si="19"/>
        <v/>
      </c>
      <c r="AF44" t="str">
        <f t="shared" si="19"/>
        <v/>
      </c>
      <c r="AG44" t="str">
        <f t="shared" si="19"/>
        <v/>
      </c>
      <c r="AH44" s="1" t="str">
        <f t="shared" si="20"/>
        <v/>
      </c>
      <c r="AI44" t="str">
        <f t="shared" si="20"/>
        <v/>
      </c>
      <c r="AJ44" t="str">
        <f t="shared" si="20"/>
        <v/>
      </c>
      <c r="AK44" t="str">
        <f t="shared" si="20"/>
        <v/>
      </c>
      <c r="AL44" s="1" t="str">
        <f t="shared" si="20"/>
        <v/>
      </c>
      <c r="AM44" t="str">
        <f t="shared" si="20"/>
        <v/>
      </c>
      <c r="AN44" t="str">
        <f t="shared" si="20"/>
        <v/>
      </c>
      <c r="AO44" t="str">
        <f t="shared" si="20"/>
        <v/>
      </c>
      <c r="AP44" s="1" t="str">
        <f t="shared" si="20"/>
        <v/>
      </c>
    </row>
    <row r="45" spans="1:42" x14ac:dyDescent="0.2">
      <c r="A45" s="10" t="str">
        <f t="shared" si="11"/>
        <v/>
      </c>
      <c r="B45" s="1" t="str">
        <f t="shared" si="12"/>
        <v/>
      </c>
      <c r="C45" s="1" t="str">
        <f t="shared" si="13"/>
        <v/>
      </c>
      <c r="D45" s="1" t="str">
        <f t="shared" si="14"/>
        <v/>
      </c>
      <c r="E45" s="10" t="str">
        <f>VLOOKUP(_xlfn.NUMBERVALUE(F45),Sheet2!$A$1:$B$29,2,FALSE)</f>
        <v>Dogiyai</v>
      </c>
      <c r="F45" s="2" t="s">
        <v>22</v>
      </c>
      <c r="G45" t="str">
        <f t="shared" si="17"/>
        <v/>
      </c>
      <c r="H45" t="str">
        <f t="shared" si="17"/>
        <v/>
      </c>
      <c r="I45" t="str">
        <f t="shared" si="15"/>
        <v/>
      </c>
      <c r="J45" s="1" t="str">
        <f t="shared" si="17"/>
        <v/>
      </c>
      <c r="K45" t="str">
        <f t="shared" si="17"/>
        <v/>
      </c>
      <c r="L45" t="str">
        <f t="shared" si="17"/>
        <v/>
      </c>
      <c r="M45" t="str">
        <f t="shared" si="16"/>
        <v/>
      </c>
      <c r="N45" s="1" t="str">
        <f t="shared" si="17"/>
        <v/>
      </c>
      <c r="O45" t="str">
        <f t="shared" si="17"/>
        <v/>
      </c>
      <c r="P45" t="str">
        <f t="shared" si="17"/>
        <v/>
      </c>
      <c r="Q45" t="str">
        <f t="shared" si="18"/>
        <v/>
      </c>
      <c r="R45" s="1" t="str">
        <f t="shared" si="18"/>
        <v/>
      </c>
      <c r="S45" t="str">
        <f t="shared" si="18"/>
        <v/>
      </c>
      <c r="T45" t="str">
        <f t="shared" si="18"/>
        <v/>
      </c>
      <c r="U45" t="str">
        <f t="shared" si="18"/>
        <v/>
      </c>
      <c r="V45" s="1" t="str">
        <f t="shared" si="18"/>
        <v/>
      </c>
      <c r="W45" t="str">
        <f t="shared" si="18"/>
        <v/>
      </c>
      <c r="X45" t="str">
        <f t="shared" si="18"/>
        <v/>
      </c>
      <c r="Y45" t="str">
        <f t="shared" si="18"/>
        <v/>
      </c>
      <c r="Z45" s="1" t="str">
        <f t="shared" si="18"/>
        <v/>
      </c>
      <c r="AA45" t="str">
        <f t="shared" si="19"/>
        <v/>
      </c>
      <c r="AB45" t="str">
        <f t="shared" si="19"/>
        <v/>
      </c>
      <c r="AC45" t="str">
        <f t="shared" si="19"/>
        <v/>
      </c>
      <c r="AD45" s="1" t="str">
        <f t="shared" si="19"/>
        <v/>
      </c>
      <c r="AE45" t="str">
        <f t="shared" si="19"/>
        <v/>
      </c>
      <c r="AF45" t="str">
        <f t="shared" si="19"/>
        <v/>
      </c>
      <c r="AG45" t="str">
        <f t="shared" si="19"/>
        <v/>
      </c>
      <c r="AH45" s="1" t="str">
        <f t="shared" si="20"/>
        <v/>
      </c>
      <c r="AI45" t="str">
        <f t="shared" si="20"/>
        <v/>
      </c>
      <c r="AJ45" t="str">
        <f t="shared" si="20"/>
        <v/>
      </c>
      <c r="AK45" t="str">
        <f t="shared" si="20"/>
        <v/>
      </c>
      <c r="AL45" s="1" t="str">
        <f t="shared" si="20"/>
        <v/>
      </c>
      <c r="AM45" t="str">
        <f t="shared" si="20"/>
        <v/>
      </c>
      <c r="AN45" t="str">
        <f t="shared" si="20"/>
        <v/>
      </c>
      <c r="AO45" t="str">
        <f t="shared" si="20"/>
        <v/>
      </c>
      <c r="AP45" s="1" t="str">
        <f t="shared" si="20"/>
        <v/>
      </c>
    </row>
    <row r="46" spans="1:42" x14ac:dyDescent="0.2">
      <c r="A46" s="10">
        <f t="shared" si="11"/>
        <v>2.8723404255319149E-2</v>
      </c>
      <c r="B46" s="1">
        <f t="shared" si="12"/>
        <v>1</v>
      </c>
      <c r="C46" s="1">
        <f t="shared" si="13"/>
        <v>2.8723404255319149E-2</v>
      </c>
      <c r="D46" s="1">
        <f t="shared" si="14"/>
        <v>0</v>
      </c>
      <c r="E46" s="10" t="str">
        <f>VLOOKUP(_xlfn.NUMBERVALUE(F46),Sheet2!$A$1:$B$29,2,FALSE)</f>
        <v>Deiyai</v>
      </c>
      <c r="F46" s="2" t="s">
        <v>14</v>
      </c>
      <c r="G46">
        <f t="shared" si="17"/>
        <v>27</v>
      </c>
      <c r="H46">
        <f t="shared" si="17"/>
        <v>0</v>
      </c>
      <c r="I46">
        <f t="shared" si="15"/>
        <v>27</v>
      </c>
      <c r="J46" s="1">
        <f t="shared" si="17"/>
        <v>1</v>
      </c>
      <c r="K46" t="str">
        <f t="shared" si="17"/>
        <v/>
      </c>
      <c r="L46" t="str">
        <f t="shared" si="17"/>
        <v/>
      </c>
      <c r="M46" t="str">
        <f t="shared" si="16"/>
        <v/>
      </c>
      <c r="N46" s="1" t="str">
        <f t="shared" si="17"/>
        <v/>
      </c>
      <c r="O46" t="str">
        <f t="shared" si="17"/>
        <v/>
      </c>
      <c r="P46" t="str">
        <f t="shared" si="17"/>
        <v/>
      </c>
      <c r="Q46" t="str">
        <f t="shared" si="18"/>
        <v/>
      </c>
      <c r="R46" s="1" t="str">
        <f t="shared" si="18"/>
        <v/>
      </c>
      <c r="S46" t="str">
        <f t="shared" si="18"/>
        <v/>
      </c>
      <c r="T46" t="str">
        <f t="shared" si="18"/>
        <v/>
      </c>
      <c r="U46" t="str">
        <f t="shared" si="18"/>
        <v/>
      </c>
      <c r="V46" s="1" t="str">
        <f t="shared" si="18"/>
        <v/>
      </c>
      <c r="W46" t="str">
        <f t="shared" si="18"/>
        <v/>
      </c>
      <c r="X46" t="str">
        <f t="shared" si="18"/>
        <v/>
      </c>
      <c r="Y46" t="str">
        <f t="shared" si="18"/>
        <v/>
      </c>
      <c r="Z46" s="1" t="str">
        <f t="shared" si="18"/>
        <v/>
      </c>
      <c r="AA46" t="str">
        <f t="shared" si="19"/>
        <v/>
      </c>
      <c r="AB46" t="str">
        <f t="shared" si="19"/>
        <v/>
      </c>
      <c r="AC46" t="str">
        <f t="shared" si="19"/>
        <v/>
      </c>
      <c r="AD46" s="1" t="str">
        <f t="shared" si="19"/>
        <v/>
      </c>
      <c r="AE46" t="str">
        <f t="shared" si="19"/>
        <v/>
      </c>
      <c r="AF46" t="str">
        <f t="shared" si="19"/>
        <v/>
      </c>
      <c r="AG46" t="str">
        <f t="shared" si="19"/>
        <v/>
      </c>
      <c r="AH46" s="1" t="str">
        <f t="shared" si="20"/>
        <v/>
      </c>
      <c r="AI46" t="str">
        <f t="shared" si="20"/>
        <v/>
      </c>
      <c r="AJ46" t="str">
        <f t="shared" si="20"/>
        <v/>
      </c>
      <c r="AK46" t="str">
        <f t="shared" si="20"/>
        <v/>
      </c>
      <c r="AL46" s="1" t="str">
        <f t="shared" si="20"/>
        <v/>
      </c>
      <c r="AM46" t="str">
        <f t="shared" si="20"/>
        <v/>
      </c>
      <c r="AN46" t="str">
        <f t="shared" si="20"/>
        <v/>
      </c>
      <c r="AO46" t="str">
        <f t="shared" si="20"/>
        <v/>
      </c>
      <c r="AP46" s="1" t="str">
        <f t="shared" si="20"/>
        <v/>
      </c>
    </row>
    <row r="47" spans="1:42" x14ac:dyDescent="0.2">
      <c r="A47" s="10">
        <f t="shared" si="11"/>
        <v>8.191489361702127E-2</v>
      </c>
      <c r="B47" s="1">
        <f t="shared" si="12"/>
        <v>1</v>
      </c>
      <c r="C47" s="1">
        <f t="shared" si="13"/>
        <v>8.191489361702127E-2</v>
      </c>
      <c r="D47" s="1">
        <f t="shared" si="14"/>
        <v>0</v>
      </c>
      <c r="E47" s="10" t="str">
        <f>VLOOKUP(_xlfn.NUMBERVALUE(F47),Sheet2!$A$1:$B$29,2,FALSE)</f>
        <v>Nabire</v>
      </c>
      <c r="F47" s="2" t="s">
        <v>15</v>
      </c>
      <c r="G47">
        <f t="shared" si="17"/>
        <v>77</v>
      </c>
      <c r="H47">
        <f t="shared" si="17"/>
        <v>0</v>
      </c>
      <c r="I47">
        <f t="shared" si="15"/>
        <v>77</v>
      </c>
      <c r="J47" s="1">
        <f t="shared" si="17"/>
        <v>1.01</v>
      </c>
      <c r="K47">
        <f t="shared" si="17"/>
        <v>2</v>
      </c>
      <c r="L47">
        <f t="shared" si="17"/>
        <v>0</v>
      </c>
      <c r="M47">
        <f t="shared" si="16"/>
        <v>2</v>
      </c>
      <c r="N47" s="1">
        <f t="shared" si="17"/>
        <v>1</v>
      </c>
      <c r="O47" t="str">
        <f t="shared" si="17"/>
        <v/>
      </c>
      <c r="P47" t="str">
        <f t="shared" si="17"/>
        <v/>
      </c>
      <c r="Q47" t="str">
        <f t="shared" si="18"/>
        <v/>
      </c>
      <c r="R47" s="1" t="str">
        <f t="shared" si="18"/>
        <v/>
      </c>
      <c r="S47" t="str">
        <f t="shared" si="18"/>
        <v/>
      </c>
      <c r="T47" t="str">
        <f t="shared" si="18"/>
        <v/>
      </c>
      <c r="U47" t="str">
        <f t="shared" si="18"/>
        <v/>
      </c>
      <c r="V47" s="1" t="str">
        <f t="shared" si="18"/>
        <v/>
      </c>
      <c r="W47" t="str">
        <f t="shared" si="18"/>
        <v/>
      </c>
      <c r="X47" t="str">
        <f t="shared" si="18"/>
        <v/>
      </c>
      <c r="Y47" t="str">
        <f t="shared" si="18"/>
        <v/>
      </c>
      <c r="Z47" s="1" t="str">
        <f t="shared" si="18"/>
        <v/>
      </c>
      <c r="AA47" t="str">
        <f t="shared" si="19"/>
        <v/>
      </c>
      <c r="AB47" t="str">
        <f t="shared" si="19"/>
        <v/>
      </c>
      <c r="AC47" t="str">
        <f t="shared" si="19"/>
        <v/>
      </c>
      <c r="AD47" s="1" t="str">
        <f t="shared" si="19"/>
        <v/>
      </c>
      <c r="AE47" t="str">
        <f t="shared" si="19"/>
        <v/>
      </c>
      <c r="AF47" t="str">
        <f t="shared" si="19"/>
        <v/>
      </c>
      <c r="AG47" t="str">
        <f t="shared" si="19"/>
        <v/>
      </c>
      <c r="AH47" s="1" t="str">
        <f t="shared" si="20"/>
        <v/>
      </c>
      <c r="AI47" t="str">
        <f t="shared" si="20"/>
        <v/>
      </c>
      <c r="AJ47" t="str">
        <f t="shared" si="20"/>
        <v/>
      </c>
      <c r="AK47" t="str">
        <f t="shared" si="20"/>
        <v/>
      </c>
      <c r="AL47" s="1" t="str">
        <f t="shared" si="20"/>
        <v/>
      </c>
      <c r="AM47" t="str">
        <f t="shared" si="20"/>
        <v/>
      </c>
      <c r="AN47" t="str">
        <f t="shared" si="20"/>
        <v/>
      </c>
      <c r="AO47" t="str">
        <f t="shared" si="20"/>
        <v/>
      </c>
      <c r="AP47" s="1" t="str">
        <f t="shared" si="20"/>
        <v/>
      </c>
    </row>
    <row r="48" spans="1:42" x14ac:dyDescent="0.2">
      <c r="A48" s="10" t="str">
        <f t="shared" si="11"/>
        <v/>
      </c>
      <c r="B48" s="1" t="str">
        <f t="shared" si="12"/>
        <v/>
      </c>
      <c r="C48" s="1" t="str">
        <f t="shared" si="13"/>
        <v/>
      </c>
      <c r="D48" s="1" t="str">
        <f t="shared" si="14"/>
        <v/>
      </c>
      <c r="E48" s="10" t="str">
        <f>VLOOKUP(_xlfn.NUMBERVALUE(F48),Sheet2!$A$1:$B$29,2,FALSE)</f>
        <v>Paniai</v>
      </c>
      <c r="F48" s="2" t="s">
        <v>23</v>
      </c>
      <c r="G48" t="str">
        <f t="shared" ref="G48:P60" si="21">IFERROR(IF(VLOOKUP($F48,$F$4:$AP$27,G$27,FALSE)="","",VLOOKUP($F48,$F$4:$AP$27,G$27,FALSE)),"")</f>
        <v/>
      </c>
      <c r="H48" t="str">
        <f t="shared" si="21"/>
        <v/>
      </c>
      <c r="I48" t="str">
        <f t="shared" si="15"/>
        <v/>
      </c>
      <c r="J48" s="1" t="str">
        <f t="shared" si="21"/>
        <v/>
      </c>
      <c r="K48" t="str">
        <f t="shared" si="21"/>
        <v/>
      </c>
      <c r="L48" t="str">
        <f t="shared" si="21"/>
        <v/>
      </c>
      <c r="M48" t="str">
        <f t="shared" si="16"/>
        <v/>
      </c>
      <c r="N48" s="1" t="str">
        <f t="shared" si="21"/>
        <v/>
      </c>
      <c r="O48" t="str">
        <f t="shared" si="21"/>
        <v/>
      </c>
      <c r="P48" t="str">
        <f t="shared" si="21"/>
        <v/>
      </c>
      <c r="Q48" t="str">
        <f t="shared" ref="Q48:Z60" si="22">IFERROR(IF(VLOOKUP($F48,$F$4:$AP$27,Q$27,FALSE)="","",VLOOKUP($F48,$F$4:$AP$27,Q$27,FALSE)),"")</f>
        <v/>
      </c>
      <c r="R48" s="1" t="str">
        <f t="shared" si="22"/>
        <v/>
      </c>
      <c r="S48" t="str">
        <f t="shared" si="22"/>
        <v/>
      </c>
      <c r="T48" t="str">
        <f t="shared" si="22"/>
        <v/>
      </c>
      <c r="U48" t="str">
        <f t="shared" si="22"/>
        <v/>
      </c>
      <c r="V48" s="1" t="str">
        <f t="shared" si="22"/>
        <v/>
      </c>
      <c r="W48" t="str">
        <f t="shared" si="22"/>
        <v/>
      </c>
      <c r="X48" t="str">
        <f t="shared" si="22"/>
        <v/>
      </c>
      <c r="Y48" t="str">
        <f t="shared" si="22"/>
        <v/>
      </c>
      <c r="Z48" s="1" t="str">
        <f t="shared" si="22"/>
        <v/>
      </c>
      <c r="AA48" t="str">
        <f t="shared" ref="AA48:AG60" si="23">IFERROR(IF(VLOOKUP($F48,$F$4:$AP$27,AA$27,FALSE)="","",VLOOKUP($F48,$F$4:$AP$27,AA$27,FALSE)),"")</f>
        <v/>
      </c>
      <c r="AB48" t="str">
        <f t="shared" si="23"/>
        <v/>
      </c>
      <c r="AC48" t="str">
        <f t="shared" si="23"/>
        <v/>
      </c>
      <c r="AD48" s="1" t="str">
        <f t="shared" si="23"/>
        <v/>
      </c>
      <c r="AE48" t="str">
        <f t="shared" si="23"/>
        <v/>
      </c>
      <c r="AF48" t="str">
        <f t="shared" si="23"/>
        <v/>
      </c>
      <c r="AG48" t="str">
        <f t="shared" si="23"/>
        <v/>
      </c>
      <c r="AH48" s="1" t="str">
        <f t="shared" si="20"/>
        <v/>
      </c>
      <c r="AI48" t="str">
        <f t="shared" si="20"/>
        <v/>
      </c>
      <c r="AJ48" t="str">
        <f t="shared" si="20"/>
        <v/>
      </c>
      <c r="AK48" t="str">
        <f t="shared" si="20"/>
        <v/>
      </c>
      <c r="AL48" s="1" t="str">
        <f t="shared" si="20"/>
        <v/>
      </c>
      <c r="AM48" t="str">
        <f t="shared" si="20"/>
        <v/>
      </c>
      <c r="AN48" t="str">
        <f t="shared" si="20"/>
        <v/>
      </c>
      <c r="AO48" t="str">
        <f t="shared" si="20"/>
        <v/>
      </c>
      <c r="AP48" s="1" t="str">
        <f t="shared" si="20"/>
        <v/>
      </c>
    </row>
    <row r="49" spans="1:42" x14ac:dyDescent="0.2">
      <c r="A49" s="10" t="str">
        <f t="shared" si="11"/>
        <v/>
      </c>
      <c r="B49" s="1" t="str">
        <f t="shared" si="12"/>
        <v/>
      </c>
      <c r="C49" s="1" t="str">
        <f t="shared" si="13"/>
        <v/>
      </c>
      <c r="D49" s="1" t="str">
        <f t="shared" si="14"/>
        <v/>
      </c>
      <c r="E49" s="10" t="str">
        <f>VLOOKUP(_xlfn.NUMBERVALUE(F49),Sheet2!$A$1:$B$29,2,FALSE)</f>
        <v>Intan Jaya</v>
      </c>
      <c r="F49" s="2" t="s">
        <v>24</v>
      </c>
      <c r="G49" t="str">
        <f t="shared" si="21"/>
        <v/>
      </c>
      <c r="H49" t="str">
        <f t="shared" si="21"/>
        <v/>
      </c>
      <c r="I49" t="str">
        <f t="shared" si="15"/>
        <v/>
      </c>
      <c r="J49" s="1" t="str">
        <f t="shared" si="21"/>
        <v/>
      </c>
      <c r="K49" t="str">
        <f t="shared" si="21"/>
        <v/>
      </c>
      <c r="L49" t="str">
        <f t="shared" si="21"/>
        <v/>
      </c>
      <c r="M49" t="str">
        <f t="shared" si="16"/>
        <v/>
      </c>
      <c r="N49" s="1" t="str">
        <f t="shared" si="21"/>
        <v/>
      </c>
      <c r="O49" t="str">
        <f t="shared" si="21"/>
        <v/>
      </c>
      <c r="P49" t="str">
        <f t="shared" si="21"/>
        <v/>
      </c>
      <c r="Q49" t="str">
        <f t="shared" si="22"/>
        <v/>
      </c>
      <c r="R49" s="1" t="str">
        <f t="shared" si="22"/>
        <v/>
      </c>
      <c r="S49" t="str">
        <f t="shared" si="22"/>
        <v/>
      </c>
      <c r="T49" t="str">
        <f t="shared" si="22"/>
        <v/>
      </c>
      <c r="U49" t="str">
        <f t="shared" si="22"/>
        <v/>
      </c>
      <c r="V49" s="1" t="str">
        <f t="shared" si="22"/>
        <v/>
      </c>
      <c r="W49" t="str">
        <f t="shared" si="22"/>
        <v/>
      </c>
      <c r="X49" t="str">
        <f t="shared" si="22"/>
        <v/>
      </c>
      <c r="Y49" t="str">
        <f t="shared" si="22"/>
        <v/>
      </c>
      <c r="Z49" s="1" t="str">
        <f t="shared" si="22"/>
        <v/>
      </c>
      <c r="AA49" t="str">
        <f t="shared" si="23"/>
        <v/>
      </c>
      <c r="AB49" t="str">
        <f t="shared" si="23"/>
        <v/>
      </c>
      <c r="AC49" t="str">
        <f t="shared" si="23"/>
        <v/>
      </c>
      <c r="AD49" s="1" t="str">
        <f t="shared" si="23"/>
        <v/>
      </c>
      <c r="AE49" t="str">
        <f t="shared" si="23"/>
        <v/>
      </c>
      <c r="AF49" t="str">
        <f t="shared" si="23"/>
        <v/>
      </c>
      <c r="AG49" t="str">
        <f t="shared" si="23"/>
        <v/>
      </c>
      <c r="AH49" s="1" t="str">
        <f t="shared" ref="AH49:AP60" si="24">IFERROR(IF(VLOOKUP($F49,$F$4:$AP$27,AH$27,FALSE)="","",VLOOKUP($F49,$F$4:$AP$27,AH$27,FALSE)),"")</f>
        <v/>
      </c>
      <c r="AI49" t="str">
        <f t="shared" si="24"/>
        <v/>
      </c>
      <c r="AJ49" t="str">
        <f t="shared" si="24"/>
        <v/>
      </c>
      <c r="AK49" t="str">
        <f t="shared" si="24"/>
        <v/>
      </c>
      <c r="AL49" s="1" t="str">
        <f t="shared" si="24"/>
        <v/>
      </c>
      <c r="AM49" t="str">
        <f t="shared" si="24"/>
        <v/>
      </c>
      <c r="AN49" t="str">
        <f t="shared" si="24"/>
        <v/>
      </c>
      <c r="AO49" t="str">
        <f t="shared" si="24"/>
        <v/>
      </c>
      <c r="AP49" s="1" t="str">
        <f t="shared" si="24"/>
        <v/>
      </c>
    </row>
    <row r="50" spans="1:42" x14ac:dyDescent="0.2">
      <c r="A50" s="10" t="str">
        <f t="shared" si="11"/>
        <v/>
      </c>
      <c r="B50" s="1" t="str">
        <f t="shared" si="12"/>
        <v/>
      </c>
      <c r="C50" s="1" t="str">
        <f t="shared" si="13"/>
        <v/>
      </c>
      <c r="D50" s="1" t="str">
        <f t="shared" si="14"/>
        <v/>
      </c>
      <c r="E50" s="10" t="str">
        <f>VLOOKUP(_xlfn.NUMBERVALUE(F50),Sheet2!$A$1:$B$29,2,FALSE)</f>
        <v>Puncak</v>
      </c>
      <c r="F50" s="2" t="s">
        <v>25</v>
      </c>
      <c r="G50" t="str">
        <f t="shared" si="21"/>
        <v/>
      </c>
      <c r="H50" t="str">
        <f t="shared" si="21"/>
        <v/>
      </c>
      <c r="I50" t="str">
        <f t="shared" si="15"/>
        <v/>
      </c>
      <c r="J50" s="1" t="str">
        <f t="shared" si="21"/>
        <v/>
      </c>
      <c r="K50" t="str">
        <f t="shared" si="21"/>
        <v/>
      </c>
      <c r="L50" t="str">
        <f t="shared" si="21"/>
        <v/>
      </c>
      <c r="M50" t="str">
        <f t="shared" si="16"/>
        <v/>
      </c>
      <c r="N50" s="1" t="str">
        <f t="shared" si="21"/>
        <v/>
      </c>
      <c r="O50" t="str">
        <f t="shared" si="21"/>
        <v/>
      </c>
      <c r="P50" t="str">
        <f t="shared" si="21"/>
        <v/>
      </c>
      <c r="Q50" t="str">
        <f t="shared" si="22"/>
        <v/>
      </c>
      <c r="R50" s="1" t="str">
        <f t="shared" si="22"/>
        <v/>
      </c>
      <c r="S50" t="str">
        <f t="shared" si="22"/>
        <v/>
      </c>
      <c r="T50" t="str">
        <f t="shared" si="22"/>
        <v/>
      </c>
      <c r="U50" t="str">
        <f t="shared" si="22"/>
        <v/>
      </c>
      <c r="V50" s="1" t="str">
        <f t="shared" si="22"/>
        <v/>
      </c>
      <c r="W50" t="str">
        <f t="shared" si="22"/>
        <v/>
      </c>
      <c r="X50" t="str">
        <f t="shared" si="22"/>
        <v/>
      </c>
      <c r="Y50" t="str">
        <f t="shared" si="22"/>
        <v/>
      </c>
      <c r="Z50" s="1" t="str">
        <f t="shared" si="22"/>
        <v/>
      </c>
      <c r="AA50" t="str">
        <f t="shared" si="23"/>
        <v/>
      </c>
      <c r="AB50" t="str">
        <f t="shared" si="23"/>
        <v/>
      </c>
      <c r="AC50" t="str">
        <f t="shared" si="23"/>
        <v/>
      </c>
      <c r="AD50" s="1" t="str">
        <f t="shared" si="23"/>
        <v/>
      </c>
      <c r="AE50" t="str">
        <f t="shared" si="23"/>
        <v/>
      </c>
      <c r="AF50" t="str">
        <f t="shared" si="23"/>
        <v/>
      </c>
      <c r="AG50" t="str">
        <f t="shared" si="23"/>
        <v/>
      </c>
      <c r="AH50" s="1" t="str">
        <f t="shared" si="24"/>
        <v/>
      </c>
      <c r="AI50" t="str">
        <f t="shared" si="24"/>
        <v/>
      </c>
      <c r="AJ50" t="str">
        <f t="shared" si="24"/>
        <v/>
      </c>
      <c r="AK50" t="str">
        <f t="shared" si="24"/>
        <v/>
      </c>
      <c r="AL50" s="1" t="str">
        <f t="shared" si="24"/>
        <v/>
      </c>
      <c r="AM50" t="str">
        <f t="shared" si="24"/>
        <v/>
      </c>
      <c r="AN50" t="str">
        <f t="shared" si="24"/>
        <v/>
      </c>
      <c r="AO50" t="str">
        <f t="shared" si="24"/>
        <v/>
      </c>
      <c r="AP50" s="1" t="str">
        <f t="shared" si="24"/>
        <v/>
      </c>
    </row>
    <row r="51" spans="1:42" x14ac:dyDescent="0.2">
      <c r="A51" s="10">
        <f t="shared" si="11"/>
        <v>2.2340425531914895E-2</v>
      </c>
      <c r="B51" s="1">
        <f t="shared" si="12"/>
        <v>1</v>
      </c>
      <c r="C51" s="1">
        <f t="shared" si="13"/>
        <v>2.2340425531914895E-2</v>
      </c>
      <c r="D51" s="1">
        <f t="shared" si="14"/>
        <v>0</v>
      </c>
      <c r="E51" s="10" t="str">
        <f>VLOOKUP(_xlfn.NUMBERVALUE(F51),Sheet2!$A$1:$B$29,2,FALSE)</f>
        <v>Puncak Jaya</v>
      </c>
      <c r="F51" s="2" t="s">
        <v>16</v>
      </c>
      <c r="G51">
        <f t="shared" si="21"/>
        <v>21</v>
      </c>
      <c r="H51">
        <f t="shared" si="21"/>
        <v>0</v>
      </c>
      <c r="I51">
        <f t="shared" si="15"/>
        <v>21</v>
      </c>
      <c r="J51" s="1">
        <f t="shared" si="21"/>
        <v>1</v>
      </c>
      <c r="K51">
        <f t="shared" si="21"/>
        <v>1</v>
      </c>
      <c r="L51">
        <f t="shared" si="21"/>
        <v>0</v>
      </c>
      <c r="M51">
        <f t="shared" si="16"/>
        <v>1</v>
      </c>
      <c r="N51" s="1">
        <f t="shared" si="21"/>
        <v>1</v>
      </c>
      <c r="O51" t="str">
        <f t="shared" si="21"/>
        <v/>
      </c>
      <c r="P51" t="str">
        <f t="shared" si="21"/>
        <v/>
      </c>
      <c r="Q51" t="str">
        <f t="shared" si="22"/>
        <v/>
      </c>
      <c r="R51" s="1" t="str">
        <f t="shared" si="22"/>
        <v/>
      </c>
      <c r="S51" t="str">
        <f t="shared" si="22"/>
        <v/>
      </c>
      <c r="T51" t="str">
        <f t="shared" si="22"/>
        <v/>
      </c>
      <c r="U51" t="str">
        <f t="shared" si="22"/>
        <v/>
      </c>
      <c r="V51" s="1" t="str">
        <f t="shared" si="22"/>
        <v/>
      </c>
      <c r="W51" t="str">
        <f t="shared" si="22"/>
        <v/>
      </c>
      <c r="X51" t="str">
        <f t="shared" si="22"/>
        <v/>
      </c>
      <c r="Y51" t="str">
        <f t="shared" si="22"/>
        <v/>
      </c>
      <c r="Z51" s="1" t="str">
        <f t="shared" si="22"/>
        <v/>
      </c>
      <c r="AA51" t="str">
        <f t="shared" si="23"/>
        <v/>
      </c>
      <c r="AB51" t="str">
        <f t="shared" si="23"/>
        <v/>
      </c>
      <c r="AC51" t="str">
        <f t="shared" si="23"/>
        <v/>
      </c>
      <c r="AD51" s="1" t="str">
        <f t="shared" si="23"/>
        <v/>
      </c>
      <c r="AE51" t="str">
        <f t="shared" si="23"/>
        <v/>
      </c>
      <c r="AF51" t="str">
        <f t="shared" si="23"/>
        <v/>
      </c>
      <c r="AG51" t="str">
        <f t="shared" si="23"/>
        <v/>
      </c>
      <c r="AH51" s="1" t="str">
        <f t="shared" si="24"/>
        <v/>
      </c>
      <c r="AI51" t="str">
        <f t="shared" si="24"/>
        <v/>
      </c>
      <c r="AJ51" t="str">
        <f t="shared" si="24"/>
        <v/>
      </c>
      <c r="AK51" t="str">
        <f t="shared" si="24"/>
        <v/>
      </c>
      <c r="AL51" s="1" t="str">
        <f t="shared" si="24"/>
        <v/>
      </c>
      <c r="AM51" t="str">
        <f t="shared" si="24"/>
        <v/>
      </c>
      <c r="AN51" t="str">
        <f t="shared" si="24"/>
        <v/>
      </c>
      <c r="AO51" t="str">
        <f t="shared" si="24"/>
        <v/>
      </c>
      <c r="AP51" s="1" t="str">
        <f t="shared" si="24"/>
        <v/>
      </c>
    </row>
    <row r="52" spans="1:42" x14ac:dyDescent="0.2">
      <c r="A52" s="10" t="str">
        <f t="shared" si="11"/>
        <v/>
      </c>
      <c r="B52" s="1" t="str">
        <f t="shared" si="12"/>
        <v/>
      </c>
      <c r="C52" s="1" t="str">
        <f t="shared" si="13"/>
        <v/>
      </c>
      <c r="D52" s="1" t="str">
        <f t="shared" si="14"/>
        <v/>
      </c>
      <c r="E52" s="10"/>
      <c r="F52" s="4" t="s">
        <v>26</v>
      </c>
      <c r="G52" s="5" t="str">
        <f t="shared" si="21"/>
        <v/>
      </c>
      <c r="H52" s="6" t="str">
        <f t="shared" si="21"/>
        <v/>
      </c>
      <c r="I52" s="6" t="str">
        <f t="shared" si="15"/>
        <v/>
      </c>
      <c r="J52" s="5" t="str">
        <f t="shared" si="21"/>
        <v/>
      </c>
      <c r="K52" s="6" t="str">
        <f t="shared" si="21"/>
        <v/>
      </c>
      <c r="L52" s="6" t="str">
        <f t="shared" si="21"/>
        <v/>
      </c>
      <c r="M52" s="5" t="str">
        <f t="shared" si="16"/>
        <v/>
      </c>
      <c r="N52" s="5" t="str">
        <f t="shared" si="21"/>
        <v/>
      </c>
      <c r="O52" s="6" t="str">
        <f t="shared" si="21"/>
        <v/>
      </c>
      <c r="P52" s="5" t="str">
        <f t="shared" si="21"/>
        <v/>
      </c>
      <c r="Q52" s="6" t="str">
        <f t="shared" si="22"/>
        <v/>
      </c>
      <c r="R52" s="6"/>
      <c r="S52" s="5" t="str">
        <f t="shared" si="22"/>
        <v/>
      </c>
      <c r="T52" s="6" t="str">
        <f t="shared" si="22"/>
        <v/>
      </c>
      <c r="U52" s="6" t="str">
        <f t="shared" si="22"/>
        <v/>
      </c>
      <c r="V52" s="5" t="str">
        <f t="shared" si="22"/>
        <v/>
      </c>
      <c r="W52" s="6" t="str">
        <f t="shared" si="22"/>
        <v/>
      </c>
      <c r="X52" s="6" t="str">
        <f t="shared" si="22"/>
        <v/>
      </c>
      <c r="Y52" s="5" t="str">
        <f t="shared" si="22"/>
        <v/>
      </c>
      <c r="Z52" s="5" t="str">
        <f t="shared" si="22"/>
        <v/>
      </c>
      <c r="AA52" s="6" t="str">
        <f t="shared" si="23"/>
        <v/>
      </c>
      <c r="AB52" s="5" t="str">
        <f t="shared" si="23"/>
        <v/>
      </c>
      <c r="AC52" s="6" t="str">
        <f t="shared" si="23"/>
        <v/>
      </c>
      <c r="AD52" s="6" t="str">
        <f t="shared" si="23"/>
        <v/>
      </c>
      <c r="AE52" s="5" t="str">
        <f t="shared" si="23"/>
        <v/>
      </c>
      <c r="AF52" s="6" t="str">
        <f t="shared" si="23"/>
        <v/>
      </c>
      <c r="AG52" s="6" t="str">
        <f t="shared" si="23"/>
        <v/>
      </c>
      <c r="AH52" s="5" t="str">
        <f t="shared" si="24"/>
        <v/>
      </c>
      <c r="AI52" s="5" t="str">
        <f t="shared" si="24"/>
        <v/>
      </c>
      <c r="AJ52" s="5" t="str">
        <f t="shared" si="24"/>
        <v/>
      </c>
      <c r="AK52" s="5" t="str">
        <f t="shared" si="24"/>
        <v/>
      </c>
      <c r="AL52" s="5" t="str">
        <f t="shared" si="24"/>
        <v/>
      </c>
      <c r="AM52" s="5" t="str">
        <f t="shared" si="24"/>
        <v/>
      </c>
      <c r="AN52" s="5" t="str">
        <f t="shared" si="24"/>
        <v/>
      </c>
      <c r="AO52" s="5" t="str">
        <f t="shared" si="24"/>
        <v/>
      </c>
      <c r="AP52" s="5" t="str">
        <f t="shared" si="24"/>
        <v/>
      </c>
    </row>
    <row r="53" spans="1:42" x14ac:dyDescent="0.2">
      <c r="A53" s="10" t="str">
        <f t="shared" si="11"/>
        <v/>
      </c>
      <c r="B53" s="1" t="str">
        <f t="shared" si="12"/>
        <v/>
      </c>
      <c r="C53" s="1" t="str">
        <f t="shared" si="13"/>
        <v/>
      </c>
      <c r="D53" s="1" t="str">
        <f t="shared" si="14"/>
        <v/>
      </c>
      <c r="E53" s="10" t="str">
        <f>VLOOKUP(_xlfn.NUMBERVALUE(F53),Sheet2!$A$1:$B$29,2,FALSE)</f>
        <v>Nduga</v>
      </c>
      <c r="F53" s="2" t="s">
        <v>27</v>
      </c>
      <c r="G53" t="str">
        <f t="shared" si="21"/>
        <v/>
      </c>
      <c r="H53" t="str">
        <f t="shared" si="21"/>
        <v/>
      </c>
      <c r="I53" t="str">
        <f t="shared" si="15"/>
        <v/>
      </c>
      <c r="J53" s="1" t="str">
        <f t="shared" si="21"/>
        <v/>
      </c>
      <c r="K53" t="str">
        <f t="shared" si="21"/>
        <v/>
      </c>
      <c r="L53" t="str">
        <f t="shared" si="21"/>
        <v/>
      </c>
      <c r="M53" t="str">
        <f t="shared" si="16"/>
        <v/>
      </c>
      <c r="N53" s="1" t="str">
        <f t="shared" si="21"/>
        <v/>
      </c>
      <c r="O53" t="str">
        <f t="shared" si="21"/>
        <v/>
      </c>
      <c r="P53" t="str">
        <f t="shared" si="21"/>
        <v/>
      </c>
      <c r="Q53" t="str">
        <f t="shared" si="22"/>
        <v/>
      </c>
      <c r="R53" s="1" t="str">
        <f t="shared" si="22"/>
        <v/>
      </c>
      <c r="S53" t="str">
        <f t="shared" si="22"/>
        <v/>
      </c>
      <c r="T53" t="str">
        <f t="shared" si="22"/>
        <v/>
      </c>
      <c r="U53" t="str">
        <f t="shared" si="22"/>
        <v/>
      </c>
      <c r="V53" s="1" t="str">
        <f t="shared" si="22"/>
        <v/>
      </c>
      <c r="W53" t="str">
        <f t="shared" si="22"/>
        <v/>
      </c>
      <c r="X53" t="str">
        <f t="shared" si="22"/>
        <v/>
      </c>
      <c r="Y53" t="str">
        <f t="shared" si="22"/>
        <v/>
      </c>
      <c r="Z53" s="1" t="str">
        <f t="shared" si="22"/>
        <v/>
      </c>
      <c r="AA53" t="str">
        <f t="shared" si="23"/>
        <v/>
      </c>
      <c r="AB53" t="str">
        <f t="shared" si="23"/>
        <v/>
      </c>
      <c r="AC53" t="str">
        <f t="shared" si="23"/>
        <v/>
      </c>
      <c r="AD53" s="1" t="str">
        <f t="shared" si="23"/>
        <v/>
      </c>
      <c r="AE53" t="str">
        <f t="shared" si="23"/>
        <v/>
      </c>
      <c r="AF53" t="str">
        <f t="shared" si="23"/>
        <v/>
      </c>
      <c r="AG53" t="str">
        <f t="shared" si="23"/>
        <v/>
      </c>
      <c r="AH53" s="1" t="str">
        <f t="shared" si="24"/>
        <v/>
      </c>
      <c r="AI53" t="str">
        <f t="shared" si="24"/>
        <v/>
      </c>
      <c r="AJ53" t="str">
        <f t="shared" si="24"/>
        <v/>
      </c>
      <c r="AK53" t="str">
        <f t="shared" si="24"/>
        <v/>
      </c>
      <c r="AL53" s="1" t="str">
        <f t="shared" si="24"/>
        <v/>
      </c>
      <c r="AM53" t="str">
        <f t="shared" si="24"/>
        <v/>
      </c>
      <c r="AN53" t="str">
        <f t="shared" si="24"/>
        <v/>
      </c>
      <c r="AO53" t="str">
        <f t="shared" si="24"/>
        <v/>
      </c>
      <c r="AP53" s="1" t="str">
        <f t="shared" si="24"/>
        <v/>
      </c>
    </row>
    <row r="54" spans="1:42" x14ac:dyDescent="0.2">
      <c r="A54" s="10">
        <f t="shared" si="11"/>
        <v>1.5957446808510637E-2</v>
      </c>
      <c r="B54" s="1">
        <f t="shared" si="12"/>
        <v>1</v>
      </c>
      <c r="C54" s="1">
        <f t="shared" si="13"/>
        <v>1.5957446808510637E-2</v>
      </c>
      <c r="D54" s="1">
        <f t="shared" si="14"/>
        <v>0</v>
      </c>
      <c r="E54" s="10" t="str">
        <f>VLOOKUP(_xlfn.NUMBERVALUE(F54),Sheet2!$A$1:$B$29,2,FALSE)</f>
        <v>Jayawijaya</v>
      </c>
      <c r="F54" s="2" t="s">
        <v>17</v>
      </c>
      <c r="G54">
        <f t="shared" si="21"/>
        <v>15</v>
      </c>
      <c r="H54">
        <f t="shared" si="21"/>
        <v>0</v>
      </c>
      <c r="I54">
        <f t="shared" si="15"/>
        <v>15</v>
      </c>
      <c r="J54" s="1">
        <f t="shared" si="21"/>
        <v>1</v>
      </c>
      <c r="K54">
        <f t="shared" si="21"/>
        <v>5</v>
      </c>
      <c r="L54">
        <f t="shared" si="21"/>
        <v>4</v>
      </c>
      <c r="M54">
        <f t="shared" si="16"/>
        <v>0</v>
      </c>
      <c r="N54" s="1">
        <f t="shared" si="21"/>
        <v>0</v>
      </c>
      <c r="O54" t="str">
        <f t="shared" si="21"/>
        <v/>
      </c>
      <c r="P54" t="str">
        <f t="shared" si="21"/>
        <v/>
      </c>
      <c r="Q54" t="str">
        <f t="shared" si="22"/>
        <v/>
      </c>
      <c r="R54" s="1" t="str">
        <f t="shared" si="22"/>
        <v/>
      </c>
      <c r="S54" t="str">
        <f t="shared" si="22"/>
        <v/>
      </c>
      <c r="T54" t="str">
        <f t="shared" si="22"/>
        <v/>
      </c>
      <c r="U54" t="str">
        <f t="shared" si="22"/>
        <v/>
      </c>
      <c r="V54" s="1" t="str">
        <f t="shared" si="22"/>
        <v/>
      </c>
      <c r="W54" t="str">
        <f t="shared" si="22"/>
        <v/>
      </c>
      <c r="X54" t="str">
        <f t="shared" si="22"/>
        <v/>
      </c>
      <c r="Y54" t="str">
        <f t="shared" si="22"/>
        <v/>
      </c>
      <c r="Z54" s="1" t="str">
        <f t="shared" si="22"/>
        <v/>
      </c>
      <c r="AA54" t="str">
        <f t="shared" si="23"/>
        <v/>
      </c>
      <c r="AB54" t="str">
        <f t="shared" si="23"/>
        <v/>
      </c>
      <c r="AC54" t="str">
        <f t="shared" si="23"/>
        <v/>
      </c>
      <c r="AD54" s="1" t="str">
        <f t="shared" si="23"/>
        <v/>
      </c>
      <c r="AE54" t="str">
        <f t="shared" si="23"/>
        <v/>
      </c>
      <c r="AF54" t="str">
        <f t="shared" si="23"/>
        <v/>
      </c>
      <c r="AG54" t="str">
        <f t="shared" si="23"/>
        <v/>
      </c>
      <c r="AH54" s="1" t="str">
        <f t="shared" si="24"/>
        <v/>
      </c>
      <c r="AI54" t="str">
        <f t="shared" si="24"/>
        <v/>
      </c>
      <c r="AJ54" t="str">
        <f t="shared" si="24"/>
        <v/>
      </c>
      <c r="AK54" t="str">
        <f t="shared" si="24"/>
        <v/>
      </c>
      <c r="AL54" s="1" t="str">
        <f t="shared" si="24"/>
        <v/>
      </c>
      <c r="AM54" t="str">
        <f t="shared" si="24"/>
        <v/>
      </c>
      <c r="AN54" t="str">
        <f t="shared" si="24"/>
        <v/>
      </c>
      <c r="AO54" t="str">
        <f t="shared" si="24"/>
        <v/>
      </c>
      <c r="AP54" s="1" t="str">
        <f t="shared" si="24"/>
        <v/>
      </c>
    </row>
    <row r="55" spans="1:42" x14ac:dyDescent="0.2">
      <c r="A55" s="10" t="str">
        <f t="shared" si="11"/>
        <v/>
      </c>
      <c r="B55" s="1" t="str">
        <f t="shared" si="12"/>
        <v/>
      </c>
      <c r="C55" s="1" t="str">
        <f t="shared" si="13"/>
        <v/>
      </c>
      <c r="D55" s="1" t="str">
        <f t="shared" si="14"/>
        <v/>
      </c>
      <c r="E55" s="10" t="str">
        <f>VLOOKUP(_xlfn.NUMBERVALUE(F55),Sheet2!$A$1:$B$29,2,FALSE)</f>
        <v>Lanny Jaya</v>
      </c>
      <c r="F55" s="2" t="s">
        <v>28</v>
      </c>
      <c r="G55" t="str">
        <f t="shared" si="21"/>
        <v/>
      </c>
      <c r="H55" t="str">
        <f t="shared" si="21"/>
        <v/>
      </c>
      <c r="I55" t="str">
        <f t="shared" si="15"/>
        <v/>
      </c>
      <c r="J55" s="1" t="str">
        <f t="shared" si="21"/>
        <v/>
      </c>
      <c r="K55" t="str">
        <f t="shared" si="21"/>
        <v/>
      </c>
      <c r="L55" t="str">
        <f t="shared" si="21"/>
        <v/>
      </c>
      <c r="M55" t="str">
        <f t="shared" si="16"/>
        <v/>
      </c>
      <c r="N55" s="1" t="str">
        <f t="shared" si="21"/>
        <v/>
      </c>
      <c r="O55" t="str">
        <f t="shared" si="21"/>
        <v/>
      </c>
      <c r="P55" t="str">
        <f t="shared" si="21"/>
        <v/>
      </c>
      <c r="Q55" t="str">
        <f t="shared" si="22"/>
        <v/>
      </c>
      <c r="R55" s="1" t="str">
        <f t="shared" si="22"/>
        <v/>
      </c>
      <c r="S55" t="str">
        <f t="shared" si="22"/>
        <v/>
      </c>
      <c r="T55" t="str">
        <f t="shared" si="22"/>
        <v/>
      </c>
      <c r="U55" t="str">
        <f t="shared" si="22"/>
        <v/>
      </c>
      <c r="V55" s="1" t="str">
        <f t="shared" si="22"/>
        <v/>
      </c>
      <c r="W55" t="str">
        <f t="shared" si="22"/>
        <v/>
      </c>
      <c r="X55" t="str">
        <f t="shared" si="22"/>
        <v/>
      </c>
      <c r="Y55" t="str">
        <f t="shared" si="22"/>
        <v/>
      </c>
      <c r="Z55" s="1" t="str">
        <f t="shared" si="22"/>
        <v/>
      </c>
      <c r="AA55" t="str">
        <f t="shared" si="23"/>
        <v/>
      </c>
      <c r="AB55" t="str">
        <f t="shared" si="23"/>
        <v/>
      </c>
      <c r="AC55" t="str">
        <f t="shared" si="23"/>
        <v/>
      </c>
      <c r="AD55" s="1" t="str">
        <f t="shared" si="23"/>
        <v/>
      </c>
      <c r="AE55" t="str">
        <f t="shared" si="23"/>
        <v/>
      </c>
      <c r="AF55" t="str">
        <f t="shared" si="23"/>
        <v/>
      </c>
      <c r="AG55" t="str">
        <f t="shared" si="23"/>
        <v/>
      </c>
      <c r="AH55" s="1" t="str">
        <f t="shared" si="24"/>
        <v/>
      </c>
      <c r="AI55" t="str">
        <f t="shared" si="24"/>
        <v/>
      </c>
      <c r="AJ55" t="str">
        <f t="shared" si="24"/>
        <v/>
      </c>
      <c r="AK55" t="str">
        <f t="shared" si="24"/>
        <v/>
      </c>
      <c r="AL55" s="1" t="str">
        <f t="shared" si="24"/>
        <v/>
      </c>
      <c r="AM55" t="str">
        <f t="shared" si="24"/>
        <v/>
      </c>
      <c r="AN55" t="str">
        <f t="shared" si="24"/>
        <v/>
      </c>
      <c r="AO55" t="str">
        <f t="shared" si="24"/>
        <v/>
      </c>
      <c r="AP55" s="1" t="str">
        <f t="shared" si="24"/>
        <v/>
      </c>
    </row>
    <row r="56" spans="1:42" x14ac:dyDescent="0.2">
      <c r="A56" s="10">
        <f t="shared" si="11"/>
        <v>3.2978723404255318E-2</v>
      </c>
      <c r="B56" s="1">
        <f t="shared" si="12"/>
        <v>1</v>
      </c>
      <c r="C56" s="1">
        <f t="shared" si="13"/>
        <v>3.2978723404255318E-2</v>
      </c>
      <c r="D56" s="1">
        <f t="shared" si="14"/>
        <v>0</v>
      </c>
      <c r="E56" s="10" t="str">
        <f>VLOOKUP(_xlfn.NUMBERVALUE(F56),Sheet2!$A$1:$B$29,2,FALSE)</f>
        <v>Tolikara</v>
      </c>
      <c r="F56" s="2" t="s">
        <v>18</v>
      </c>
      <c r="G56">
        <f t="shared" si="21"/>
        <v>31</v>
      </c>
      <c r="H56">
        <f t="shared" si="21"/>
        <v>0</v>
      </c>
      <c r="I56">
        <f t="shared" si="15"/>
        <v>31</v>
      </c>
      <c r="J56" s="1">
        <f t="shared" si="21"/>
        <v>1</v>
      </c>
      <c r="K56" t="str">
        <f t="shared" si="21"/>
        <v/>
      </c>
      <c r="L56" t="str">
        <f t="shared" si="21"/>
        <v/>
      </c>
      <c r="M56" t="str">
        <f t="shared" si="16"/>
        <v/>
      </c>
      <c r="N56" s="1" t="str">
        <f t="shared" si="21"/>
        <v/>
      </c>
      <c r="O56" t="str">
        <f t="shared" si="21"/>
        <v/>
      </c>
      <c r="P56" t="str">
        <f t="shared" si="21"/>
        <v/>
      </c>
      <c r="Q56" t="str">
        <f t="shared" si="22"/>
        <v/>
      </c>
      <c r="R56" s="1" t="str">
        <f t="shared" si="22"/>
        <v/>
      </c>
      <c r="S56" t="str">
        <f t="shared" si="22"/>
        <v/>
      </c>
      <c r="T56" t="str">
        <f t="shared" si="22"/>
        <v/>
      </c>
      <c r="U56" t="str">
        <f t="shared" si="22"/>
        <v/>
      </c>
      <c r="V56" s="1" t="str">
        <f t="shared" si="22"/>
        <v/>
      </c>
      <c r="W56" t="str">
        <f t="shared" si="22"/>
        <v/>
      </c>
      <c r="X56" t="str">
        <f t="shared" si="22"/>
        <v/>
      </c>
      <c r="Y56" t="str">
        <f t="shared" si="22"/>
        <v/>
      </c>
      <c r="Z56" s="1" t="str">
        <f t="shared" si="22"/>
        <v/>
      </c>
      <c r="AA56" t="str">
        <f t="shared" si="23"/>
        <v/>
      </c>
      <c r="AB56" t="str">
        <f t="shared" si="23"/>
        <v/>
      </c>
      <c r="AC56" t="str">
        <f t="shared" si="23"/>
        <v/>
      </c>
      <c r="AD56" s="1" t="str">
        <f t="shared" si="23"/>
        <v/>
      </c>
      <c r="AE56" t="str">
        <f t="shared" si="23"/>
        <v/>
      </c>
      <c r="AF56" t="str">
        <f t="shared" si="23"/>
        <v/>
      </c>
      <c r="AG56" t="str">
        <f t="shared" si="23"/>
        <v/>
      </c>
      <c r="AH56" s="1" t="str">
        <f t="shared" si="24"/>
        <v/>
      </c>
      <c r="AI56" t="str">
        <f t="shared" si="24"/>
        <v/>
      </c>
      <c r="AJ56" t="str">
        <f t="shared" si="24"/>
        <v/>
      </c>
      <c r="AK56" t="str">
        <f t="shared" si="24"/>
        <v/>
      </c>
      <c r="AL56" s="1" t="str">
        <f t="shared" si="24"/>
        <v/>
      </c>
      <c r="AM56" t="str">
        <f t="shared" si="24"/>
        <v/>
      </c>
      <c r="AN56" t="str">
        <f t="shared" si="24"/>
        <v/>
      </c>
      <c r="AO56" t="str">
        <f t="shared" si="24"/>
        <v/>
      </c>
      <c r="AP56" s="1" t="str">
        <f t="shared" si="24"/>
        <v/>
      </c>
    </row>
    <row r="57" spans="1:42" x14ac:dyDescent="0.2">
      <c r="A57" s="10" t="str">
        <f t="shared" si="11"/>
        <v/>
      </c>
      <c r="B57" s="1" t="str">
        <f t="shared" si="12"/>
        <v/>
      </c>
      <c r="C57" s="1"/>
      <c r="D57" s="1" t="str">
        <f t="shared" si="14"/>
        <v/>
      </c>
      <c r="E57" s="10" t="str">
        <f>VLOOKUP(_xlfn.NUMBERVALUE(F57),Sheet2!$A$1:$B$29,2,FALSE)</f>
        <v>Mamberamo Tengah</v>
      </c>
      <c r="F57" s="2" t="s">
        <v>29</v>
      </c>
      <c r="G57" t="str">
        <f t="shared" si="21"/>
        <v/>
      </c>
      <c r="H57" t="str">
        <f t="shared" si="21"/>
        <v/>
      </c>
      <c r="I57" t="str">
        <f t="shared" si="15"/>
        <v/>
      </c>
      <c r="J57" s="1" t="str">
        <f t="shared" si="21"/>
        <v/>
      </c>
      <c r="K57" t="str">
        <f t="shared" si="21"/>
        <v/>
      </c>
      <c r="L57" t="str">
        <f t="shared" si="21"/>
        <v/>
      </c>
      <c r="M57" t="str">
        <f t="shared" si="16"/>
        <v/>
      </c>
      <c r="N57" s="1" t="str">
        <f t="shared" si="21"/>
        <v/>
      </c>
      <c r="O57" t="str">
        <f t="shared" si="21"/>
        <v/>
      </c>
      <c r="P57" t="str">
        <f t="shared" si="21"/>
        <v/>
      </c>
      <c r="Q57" t="str">
        <f t="shared" si="22"/>
        <v/>
      </c>
      <c r="R57" s="1" t="str">
        <f t="shared" si="22"/>
        <v/>
      </c>
      <c r="S57" t="str">
        <f t="shared" si="22"/>
        <v/>
      </c>
      <c r="T57" t="str">
        <f t="shared" si="22"/>
        <v/>
      </c>
      <c r="U57" t="str">
        <f t="shared" si="22"/>
        <v/>
      </c>
      <c r="V57" s="1" t="str">
        <f t="shared" si="22"/>
        <v/>
      </c>
      <c r="W57" t="str">
        <f t="shared" si="22"/>
        <v/>
      </c>
      <c r="X57" t="str">
        <f t="shared" si="22"/>
        <v/>
      </c>
      <c r="Y57" t="str">
        <f t="shared" si="22"/>
        <v/>
      </c>
      <c r="Z57" s="1" t="str">
        <f t="shared" si="22"/>
        <v/>
      </c>
      <c r="AA57" t="str">
        <f t="shared" si="23"/>
        <v/>
      </c>
      <c r="AB57" t="str">
        <f t="shared" si="23"/>
        <v/>
      </c>
      <c r="AC57" t="str">
        <f t="shared" si="23"/>
        <v/>
      </c>
      <c r="AD57" s="1" t="str">
        <f t="shared" si="23"/>
        <v/>
      </c>
      <c r="AE57" t="str">
        <f t="shared" si="23"/>
        <v/>
      </c>
      <c r="AF57" t="str">
        <f t="shared" si="23"/>
        <v/>
      </c>
      <c r="AG57" t="str">
        <f t="shared" si="23"/>
        <v/>
      </c>
      <c r="AH57" s="1" t="str">
        <f t="shared" si="24"/>
        <v/>
      </c>
      <c r="AI57" t="str">
        <f t="shared" si="24"/>
        <v/>
      </c>
      <c r="AJ57" t="str">
        <f t="shared" si="24"/>
        <v/>
      </c>
      <c r="AK57" t="str">
        <f t="shared" si="24"/>
        <v/>
      </c>
      <c r="AL57" s="1" t="str">
        <f t="shared" si="24"/>
        <v/>
      </c>
      <c r="AM57" t="str">
        <f t="shared" si="24"/>
        <v/>
      </c>
      <c r="AN57" t="str">
        <f t="shared" si="24"/>
        <v/>
      </c>
      <c r="AO57" t="str">
        <f t="shared" si="24"/>
        <v/>
      </c>
      <c r="AP57" s="1" t="str">
        <f t="shared" si="24"/>
        <v/>
      </c>
    </row>
    <row r="58" spans="1:42" x14ac:dyDescent="0.2">
      <c r="A58" s="10" t="str">
        <f t="shared" si="11"/>
        <v/>
      </c>
      <c r="B58" s="1" t="str">
        <f t="shared" si="12"/>
        <v/>
      </c>
      <c r="C58" s="1"/>
      <c r="D58" s="1" t="str">
        <f t="shared" si="14"/>
        <v/>
      </c>
      <c r="E58" s="10" t="str">
        <f>VLOOKUP(_xlfn.NUMBERVALUE(F58),Sheet2!$A$1:$B$29,2,FALSE)</f>
        <v>Yalimo</v>
      </c>
      <c r="F58" s="2" t="s">
        <v>30</v>
      </c>
      <c r="G58" t="str">
        <f t="shared" si="21"/>
        <v/>
      </c>
      <c r="H58" t="str">
        <f t="shared" si="21"/>
        <v/>
      </c>
      <c r="I58" t="str">
        <f t="shared" si="15"/>
        <v/>
      </c>
      <c r="J58" s="1" t="str">
        <f t="shared" si="21"/>
        <v/>
      </c>
      <c r="K58" t="str">
        <f t="shared" si="21"/>
        <v/>
      </c>
      <c r="L58" t="str">
        <f t="shared" si="21"/>
        <v/>
      </c>
      <c r="M58" t="str">
        <f t="shared" si="16"/>
        <v/>
      </c>
      <c r="N58" s="1" t="str">
        <f t="shared" si="21"/>
        <v/>
      </c>
      <c r="O58" t="str">
        <f t="shared" si="21"/>
        <v/>
      </c>
      <c r="P58" t="str">
        <f t="shared" si="21"/>
        <v/>
      </c>
      <c r="Q58" t="str">
        <f t="shared" si="22"/>
        <v/>
      </c>
      <c r="R58" s="1" t="str">
        <f t="shared" si="22"/>
        <v/>
      </c>
      <c r="S58" t="str">
        <f t="shared" si="22"/>
        <v/>
      </c>
      <c r="T58" t="str">
        <f t="shared" si="22"/>
        <v/>
      </c>
      <c r="U58" t="str">
        <f t="shared" si="22"/>
        <v/>
      </c>
      <c r="V58" s="1" t="str">
        <f t="shared" si="22"/>
        <v/>
      </c>
      <c r="W58" t="str">
        <f t="shared" si="22"/>
        <v/>
      </c>
      <c r="X58" t="str">
        <f t="shared" si="22"/>
        <v/>
      </c>
      <c r="Y58" t="str">
        <f t="shared" si="22"/>
        <v/>
      </c>
      <c r="Z58" s="1" t="str">
        <f t="shared" si="22"/>
        <v/>
      </c>
      <c r="AA58" t="str">
        <f t="shared" si="23"/>
        <v/>
      </c>
      <c r="AB58" t="str">
        <f t="shared" si="23"/>
        <v/>
      </c>
      <c r="AC58" t="str">
        <f t="shared" si="23"/>
        <v/>
      </c>
      <c r="AD58" s="1" t="str">
        <f t="shared" si="23"/>
        <v/>
      </c>
      <c r="AE58" t="str">
        <f t="shared" si="23"/>
        <v/>
      </c>
      <c r="AF58" t="str">
        <f t="shared" si="23"/>
        <v/>
      </c>
      <c r="AG58" t="str">
        <f t="shared" si="23"/>
        <v/>
      </c>
      <c r="AH58" s="1" t="str">
        <f t="shared" si="24"/>
        <v/>
      </c>
      <c r="AI58" t="str">
        <f t="shared" si="24"/>
        <v/>
      </c>
      <c r="AJ58" t="str">
        <f t="shared" si="24"/>
        <v/>
      </c>
      <c r="AK58" t="str">
        <f t="shared" si="24"/>
        <v/>
      </c>
      <c r="AL58" s="1" t="str">
        <f t="shared" si="24"/>
        <v/>
      </c>
      <c r="AM58" t="str">
        <f t="shared" si="24"/>
        <v/>
      </c>
      <c r="AN58" t="str">
        <f t="shared" si="24"/>
        <v/>
      </c>
      <c r="AO58" t="str">
        <f t="shared" si="24"/>
        <v/>
      </c>
      <c r="AP58" s="1" t="str">
        <f t="shared" si="24"/>
        <v/>
      </c>
    </row>
    <row r="59" spans="1:42" x14ac:dyDescent="0.2">
      <c r="A59" s="10" t="str">
        <f t="shared" si="11"/>
        <v/>
      </c>
      <c r="B59" s="1" t="str">
        <f t="shared" si="12"/>
        <v/>
      </c>
      <c r="C59" s="1"/>
      <c r="D59" s="1" t="str">
        <f t="shared" si="14"/>
        <v/>
      </c>
      <c r="E59" s="10" t="str">
        <f>VLOOKUP(_xlfn.NUMBERVALUE(F59),Sheet2!$A$1:$B$29,2,FALSE)</f>
        <v>Yahukimo</v>
      </c>
      <c r="F59" s="2" t="s">
        <v>31</v>
      </c>
      <c r="G59" t="str">
        <f t="shared" si="21"/>
        <v/>
      </c>
      <c r="H59" t="str">
        <f t="shared" si="21"/>
        <v/>
      </c>
      <c r="I59" t="str">
        <f t="shared" si="15"/>
        <v/>
      </c>
      <c r="J59" s="1" t="str">
        <f t="shared" si="21"/>
        <v/>
      </c>
      <c r="K59" t="str">
        <f t="shared" si="21"/>
        <v/>
      </c>
      <c r="L59" t="str">
        <f t="shared" si="21"/>
        <v/>
      </c>
      <c r="M59" t="str">
        <f t="shared" si="16"/>
        <v/>
      </c>
      <c r="N59" s="1" t="str">
        <f t="shared" si="21"/>
        <v/>
      </c>
      <c r="O59" t="str">
        <f t="shared" si="21"/>
        <v/>
      </c>
      <c r="P59" t="str">
        <f t="shared" si="21"/>
        <v/>
      </c>
      <c r="Q59" t="str">
        <f t="shared" si="22"/>
        <v/>
      </c>
      <c r="R59" s="1" t="str">
        <f t="shared" si="22"/>
        <v/>
      </c>
      <c r="S59" t="str">
        <f t="shared" si="22"/>
        <v/>
      </c>
      <c r="T59" t="str">
        <f t="shared" si="22"/>
        <v/>
      </c>
      <c r="U59" t="str">
        <f t="shared" si="22"/>
        <v/>
      </c>
      <c r="V59" s="1" t="str">
        <f t="shared" si="22"/>
        <v/>
      </c>
      <c r="W59" t="str">
        <f t="shared" si="22"/>
        <v/>
      </c>
      <c r="X59" t="str">
        <f t="shared" si="22"/>
        <v/>
      </c>
      <c r="Y59" t="str">
        <f t="shared" si="22"/>
        <v/>
      </c>
      <c r="Z59" s="1" t="str">
        <f t="shared" si="22"/>
        <v/>
      </c>
      <c r="AA59" t="str">
        <f t="shared" si="23"/>
        <v/>
      </c>
      <c r="AB59" t="str">
        <f t="shared" si="23"/>
        <v/>
      </c>
      <c r="AC59" t="str">
        <f t="shared" si="23"/>
        <v/>
      </c>
      <c r="AD59" s="1" t="str">
        <f t="shared" si="23"/>
        <v/>
      </c>
      <c r="AE59" t="str">
        <f t="shared" si="23"/>
        <v/>
      </c>
      <c r="AF59" t="str">
        <f t="shared" si="23"/>
        <v/>
      </c>
      <c r="AG59" t="str">
        <f t="shared" si="23"/>
        <v/>
      </c>
      <c r="AH59" s="1" t="str">
        <f t="shared" si="24"/>
        <v/>
      </c>
      <c r="AI59" t="str">
        <f t="shared" si="24"/>
        <v/>
      </c>
      <c r="AJ59" t="str">
        <f t="shared" si="24"/>
        <v/>
      </c>
      <c r="AK59" t="str">
        <f t="shared" si="24"/>
        <v/>
      </c>
      <c r="AL59" s="1" t="str">
        <f t="shared" si="24"/>
        <v/>
      </c>
      <c r="AM59" t="str">
        <f t="shared" si="24"/>
        <v/>
      </c>
      <c r="AN59" t="str">
        <f t="shared" si="24"/>
        <v/>
      </c>
      <c r="AO59" t="str">
        <f t="shared" si="24"/>
        <v/>
      </c>
      <c r="AP59" s="1" t="str">
        <f t="shared" si="24"/>
        <v/>
      </c>
    </row>
    <row r="60" spans="1:42" x14ac:dyDescent="0.2">
      <c r="A60" s="10" t="str">
        <f t="shared" si="11"/>
        <v/>
      </c>
      <c r="B60" s="1" t="str">
        <f t="shared" si="12"/>
        <v/>
      </c>
      <c r="C60" s="1"/>
      <c r="D60" s="1" t="str">
        <f t="shared" si="14"/>
        <v/>
      </c>
      <c r="E60" s="10" t="str">
        <f>VLOOKUP(_xlfn.NUMBERVALUE(F60),Sheet2!$A$1:$B$29,2,FALSE)</f>
        <v>Pegunungan Bintang</v>
      </c>
      <c r="F60" s="2" t="s">
        <v>32</v>
      </c>
      <c r="G60" t="str">
        <f t="shared" si="21"/>
        <v/>
      </c>
      <c r="H60" t="str">
        <f t="shared" si="21"/>
        <v/>
      </c>
      <c r="I60" t="str">
        <f t="shared" si="15"/>
        <v/>
      </c>
      <c r="J60" s="1" t="str">
        <f t="shared" si="21"/>
        <v/>
      </c>
      <c r="K60" t="str">
        <f t="shared" si="21"/>
        <v/>
      </c>
      <c r="L60" t="str">
        <f t="shared" si="21"/>
        <v/>
      </c>
      <c r="M60" t="str">
        <f t="shared" si="16"/>
        <v/>
      </c>
      <c r="N60" s="1" t="str">
        <f t="shared" si="21"/>
        <v/>
      </c>
      <c r="O60" t="str">
        <f t="shared" si="21"/>
        <v/>
      </c>
      <c r="P60" t="str">
        <f t="shared" si="21"/>
        <v/>
      </c>
      <c r="Q60" t="str">
        <f t="shared" si="22"/>
        <v/>
      </c>
      <c r="R60" s="1" t="str">
        <f t="shared" si="22"/>
        <v/>
      </c>
      <c r="S60" t="str">
        <f t="shared" si="22"/>
        <v/>
      </c>
      <c r="T60" t="str">
        <f t="shared" si="22"/>
        <v/>
      </c>
      <c r="U60" t="str">
        <f t="shared" si="22"/>
        <v/>
      </c>
      <c r="V60" s="1" t="str">
        <f t="shared" si="22"/>
        <v/>
      </c>
      <c r="W60" t="str">
        <f t="shared" si="22"/>
        <v/>
      </c>
      <c r="X60" t="str">
        <f t="shared" si="22"/>
        <v/>
      </c>
      <c r="Y60" t="str">
        <f t="shared" si="22"/>
        <v/>
      </c>
      <c r="Z60" s="1" t="str">
        <f t="shared" si="22"/>
        <v/>
      </c>
      <c r="AA60" t="str">
        <f t="shared" si="23"/>
        <v/>
      </c>
      <c r="AB60" t="str">
        <f t="shared" si="23"/>
        <v/>
      </c>
      <c r="AC60" t="str">
        <f t="shared" si="23"/>
        <v/>
      </c>
      <c r="AD60" s="1" t="str">
        <f t="shared" si="23"/>
        <v/>
      </c>
      <c r="AE60" t="str">
        <f t="shared" si="23"/>
        <v/>
      </c>
      <c r="AF60" t="str">
        <f t="shared" si="23"/>
        <v/>
      </c>
      <c r="AG60" t="str">
        <f t="shared" si="23"/>
        <v/>
      </c>
      <c r="AH60" s="1" t="str">
        <f t="shared" si="24"/>
        <v/>
      </c>
      <c r="AI60" t="str">
        <f t="shared" si="24"/>
        <v/>
      </c>
      <c r="AJ60" t="str">
        <f t="shared" si="24"/>
        <v/>
      </c>
      <c r="AK60" t="str">
        <f t="shared" si="24"/>
        <v/>
      </c>
      <c r="AL60" s="1" t="str">
        <f t="shared" si="24"/>
        <v/>
      </c>
      <c r="AM60" t="str">
        <f t="shared" si="24"/>
        <v/>
      </c>
      <c r="AN60" t="str">
        <f t="shared" si="24"/>
        <v/>
      </c>
      <c r="AO60" t="str">
        <f t="shared" si="24"/>
        <v/>
      </c>
      <c r="AP60" s="1" t="str">
        <f t="shared" si="24"/>
        <v/>
      </c>
    </row>
    <row r="62" spans="1:42" x14ac:dyDescent="0.2">
      <c r="A62" s="10">
        <f>SUM(A29:A60)</f>
        <v>1</v>
      </c>
      <c r="B62" s="10"/>
      <c r="C62" s="1">
        <f t="shared" ref="C62:D62" si="25">SUM(C29:C60)</f>
        <v>0.99893617021276593</v>
      </c>
      <c r="D62" s="1">
        <f t="shared" si="25"/>
        <v>1.0638297872340441E-3</v>
      </c>
      <c r="G62">
        <f>SUM(G28:G60)</f>
        <v>940</v>
      </c>
      <c r="H62">
        <f>SUM(H28:H60)</f>
        <v>0</v>
      </c>
      <c r="I62">
        <f>SUM(I28:I60)</f>
        <v>939</v>
      </c>
      <c r="J62" s="1">
        <f>SUM(H62:I62)/G62</f>
        <v>0.99893617021276593</v>
      </c>
      <c r="K62">
        <f t="shared" ref="K62:M62" si="26">SUM(K28:K60)</f>
        <v>130</v>
      </c>
      <c r="L62">
        <f t="shared" si="26"/>
        <v>4</v>
      </c>
      <c r="M62">
        <f t="shared" si="26"/>
        <v>121</v>
      </c>
      <c r="N62" s="1">
        <f t="shared" ref="N62" si="27">SUM(L62:M62)/K62</f>
        <v>0.96153846153846156</v>
      </c>
      <c r="O62">
        <f t="shared" ref="O62:Q62" si="28">SUM(O28:O60)</f>
        <v>0</v>
      </c>
      <c r="P62">
        <f t="shared" si="28"/>
        <v>0</v>
      </c>
      <c r="Q62">
        <f t="shared" si="28"/>
        <v>0</v>
      </c>
      <c r="R62" s="1" t="e">
        <f t="shared" ref="R62" si="29">SUM(P62:Q62)/O62</f>
        <v>#DIV/0!</v>
      </c>
      <c r="S62">
        <f t="shared" ref="S62:U62" si="30">SUM(S28:S60)</f>
        <v>0</v>
      </c>
      <c r="T62">
        <f t="shared" si="30"/>
        <v>0</v>
      </c>
      <c r="U62">
        <f t="shared" si="30"/>
        <v>0</v>
      </c>
      <c r="V62" s="1" t="e">
        <f t="shared" ref="V62" si="31">SUM(T62:U62)/S62</f>
        <v>#DIV/0!</v>
      </c>
      <c r="W62">
        <f t="shared" ref="W62:Y62" si="32">SUM(W28:W60)</f>
        <v>0</v>
      </c>
      <c r="X62">
        <f t="shared" si="32"/>
        <v>0</v>
      </c>
      <c r="Y62">
        <f t="shared" si="32"/>
        <v>0</v>
      </c>
      <c r="Z62" s="1" t="e">
        <f t="shared" ref="Z62" si="33">SUM(X62:Y62)/W62</f>
        <v>#DIV/0!</v>
      </c>
    </row>
    <row r="63" spans="1:42" x14ac:dyDescent="0.2">
      <c r="I63" s="1">
        <f>I62/G62</f>
        <v>0.99893617021276593</v>
      </c>
      <c r="M63" s="1">
        <f>M62/K62</f>
        <v>0.93076923076923079</v>
      </c>
      <c r="Q63" s="1" t="e">
        <f>Q62/O62</f>
        <v>#DIV/0!</v>
      </c>
      <c r="U63" s="1" t="e">
        <f>U62/S62</f>
        <v>#DIV/0!</v>
      </c>
      <c r="Y63" s="1" t="e">
        <f>Y62/W62</f>
        <v>#DIV/0!</v>
      </c>
    </row>
    <row r="64" spans="1:42" x14ac:dyDescent="0.2">
      <c r="I64" t="s">
        <v>73</v>
      </c>
      <c r="M64" t="s">
        <v>73</v>
      </c>
      <c r="Q64" t="s">
        <v>73</v>
      </c>
    </row>
    <row r="66" spans="8:15" x14ac:dyDescent="0.2">
      <c r="H66" t="s">
        <v>77</v>
      </c>
      <c r="I66" t="s">
        <v>78</v>
      </c>
    </row>
    <row r="67" spans="8:15" x14ac:dyDescent="0.2">
      <c r="H67" t="s">
        <v>74</v>
      </c>
      <c r="I67" t="s">
        <v>73</v>
      </c>
    </row>
    <row r="68" spans="8:15" x14ac:dyDescent="0.2">
      <c r="I68" t="s">
        <v>75</v>
      </c>
      <c r="O68" s="1"/>
    </row>
    <row r="69" spans="8:15" x14ac:dyDescent="0.2">
      <c r="I69" t="s">
        <v>76</v>
      </c>
    </row>
  </sheetData>
  <mergeCells count="9">
    <mergeCell ref="G1:J1"/>
    <mergeCell ref="AI1:AL1"/>
    <mergeCell ref="AM1:AP1"/>
    <mergeCell ref="K1:N1"/>
    <mergeCell ref="O1:R1"/>
    <mergeCell ref="S1:V1"/>
    <mergeCell ref="AE1:AH1"/>
    <mergeCell ref="AA1:AD1"/>
    <mergeCell ref="W1:Z1"/>
  </mergeCells>
  <conditionalFormatting sqref="A62:D62 A29:B6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{C1FB6F96-5BBC-F145-B2D5-DB7AD04662CD}</x14:id>
        </ext>
      </extLst>
    </cfRule>
  </conditionalFormatting>
  <conditionalFormatting sqref="C29:C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{F90C2F04-447A-2040-A649-FE7EEED404AB}</x14:id>
        </ext>
      </extLst>
    </cfRule>
  </conditionalFormatting>
  <conditionalFormatting sqref="D29:E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{74D711EA-8091-7C41-9D68-8EB3F6AE0016}</x14:id>
        </ext>
      </extLst>
    </cfRule>
  </conditionalFormatting>
  <conditionalFormatting sqref="J28:J60 J62 N62 R62 V62 Z6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{DAC49157-FDE3-3C46-AB7C-0A3A8C4BD2B8}</x14:id>
        </ext>
      </extLst>
    </cfRule>
  </conditionalFormatting>
  <conditionalFormatting sqref="N28:N6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{57A2BDD9-B70E-5E4F-9F3D-3ADE62823642}</x14:id>
        </ext>
      </extLst>
    </cfRule>
  </conditionalFormatting>
  <conditionalFormatting sqref="R28:R6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{2227FBF7-6967-3B44-93DC-D4EB7CA2AAE3}</x14:id>
        </ext>
      </extLst>
    </cfRule>
  </conditionalFormatting>
  <conditionalFormatting sqref="V28:V6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{66AF32E7-FD4A-7D4A-86FB-9BE1A289769E}</x14:id>
        </ext>
      </extLst>
    </cfRule>
  </conditionalFormatting>
  <conditionalFormatting sqref="Z28:Z6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{1ECD9CFA-64E7-8744-8788-E9BFA2408375}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FB6F96-5BBC-F145-B2D5-DB7AD0466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A62:D62 A29:B60</xm:sqref>
        </x14:conditionalFormatting>
        <x14:conditionalFormatting xmlns:xm="http://schemas.microsoft.com/office/excel/2006/main">
          <x14:cfRule type="dataBar" id="{F90C2F04-447A-2040-A649-FE7EEED404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C29:C56</xm:sqref>
        </x14:conditionalFormatting>
        <x14:conditionalFormatting xmlns:xm="http://schemas.microsoft.com/office/excel/2006/main">
          <x14:cfRule type="dataBar" id="{74D711EA-8091-7C41-9D68-8EB3F6AE00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D29:E60</xm:sqref>
        </x14:conditionalFormatting>
        <x14:conditionalFormatting xmlns:xm="http://schemas.microsoft.com/office/excel/2006/main">
          <x14:cfRule type="dataBar" id="{DAC49157-FDE3-3C46-AB7C-0A3A8C4BD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J28:J60 J62 N62 R62 V62 Z62</xm:sqref>
        </x14:conditionalFormatting>
        <x14:conditionalFormatting xmlns:xm="http://schemas.microsoft.com/office/excel/2006/main">
          <x14:cfRule type="dataBar" id="{57A2BDD9-B70E-5E4F-9F3D-3ADE628236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N28:N60</xm:sqref>
        </x14:conditionalFormatting>
        <x14:conditionalFormatting xmlns:xm="http://schemas.microsoft.com/office/excel/2006/main">
          <x14:cfRule type="dataBar" id="{2227FBF7-6967-3B44-93DC-D4EB7CA2A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R28:R60</xm:sqref>
        </x14:conditionalFormatting>
        <x14:conditionalFormatting xmlns:xm="http://schemas.microsoft.com/office/excel/2006/main">
          <x14:cfRule type="dataBar" id="{66AF32E7-FD4A-7D4A-86FB-9BE1A28976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V28:V60</xm:sqref>
        </x14:conditionalFormatting>
        <x14:conditionalFormatting xmlns:xm="http://schemas.microsoft.com/office/excel/2006/main">
          <x14:cfRule type="dataBar" id="{1ECD9CFA-64E7-8744-8788-E9BFA24083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Z28:Z60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3CDC-D59A-4424-B974-56206E94C124}">
  <dimension ref="A1:K39"/>
  <sheetViews>
    <sheetView workbookViewId="0">
      <selection activeCell="J30" sqref="J30"/>
    </sheetView>
  </sheetViews>
  <sheetFormatPr baseColWidth="10" defaultColWidth="8.83203125" defaultRowHeight="15" x14ac:dyDescent="0.2"/>
  <cols>
    <col min="1" max="1" width="9.5" bestFit="1" customWidth="1"/>
    <col min="2" max="2" width="12.1640625" bestFit="1" customWidth="1"/>
    <col min="3" max="3" width="19.83203125" bestFit="1" customWidth="1"/>
    <col min="4" max="4" width="13" bestFit="1" customWidth="1"/>
    <col min="5" max="5" width="17.83203125" bestFit="1" customWidth="1"/>
    <col min="6" max="6" width="8.6640625" bestFit="1" customWidth="1"/>
    <col min="7" max="7" width="7.6640625" bestFit="1" customWidth="1"/>
    <col min="10" max="10" width="12.1640625" bestFit="1" customWidth="1"/>
    <col min="11" max="11" width="16.33203125" bestFit="1" customWidth="1"/>
    <col min="13" max="13" width="12.1640625" bestFit="1" customWidth="1"/>
    <col min="14" max="14" width="16.33203125" bestFit="1" customWidth="1"/>
  </cols>
  <sheetData>
    <row r="1" spans="1:11" x14ac:dyDescent="0.2">
      <c r="A1" t="s">
        <v>62</v>
      </c>
      <c r="B1" t="s">
        <v>63</v>
      </c>
      <c r="C1" t="s">
        <v>66</v>
      </c>
      <c r="D1" t="s">
        <v>64</v>
      </c>
      <c r="E1" t="s">
        <v>65</v>
      </c>
      <c r="F1" t="s">
        <v>67</v>
      </c>
      <c r="G1" t="s">
        <v>68</v>
      </c>
    </row>
    <row r="2" spans="1:11" x14ac:dyDescent="0.2">
      <c r="A2" s="10">
        <f>Sheet1!A56</f>
        <v>3.2978723404255318E-2</v>
      </c>
      <c r="B2" s="1">
        <f>Sheet1!B56</f>
        <v>1</v>
      </c>
      <c r="C2" s="10">
        <f>Sheet1!C56</f>
        <v>3.2978723404255318E-2</v>
      </c>
      <c r="D2" s="10">
        <f>Sheet1!D56</f>
        <v>0</v>
      </c>
      <c r="E2" s="10" t="str">
        <f>Sheet1!E56</f>
        <v>Tolikara</v>
      </c>
      <c r="F2" s="10" t="str">
        <f>Sheet1!F56</f>
        <v>9704</v>
      </c>
      <c r="G2" s="17">
        <f>Sheet1!G56</f>
        <v>31</v>
      </c>
    </row>
    <row r="3" spans="1:11" x14ac:dyDescent="0.2">
      <c r="A3" s="10">
        <f>Sheet1!A51</f>
        <v>2.2340425531914895E-2</v>
      </c>
      <c r="B3" s="1">
        <f>Sheet1!B51</f>
        <v>1</v>
      </c>
      <c r="C3" s="10">
        <f>Sheet1!C51</f>
        <v>2.2340425531914895E-2</v>
      </c>
      <c r="D3" s="10">
        <f>Sheet1!D51</f>
        <v>0</v>
      </c>
      <c r="E3" s="10" t="str">
        <f>Sheet1!E51</f>
        <v>Puncak Jaya</v>
      </c>
      <c r="F3" s="10" t="str">
        <f>Sheet1!F51</f>
        <v>9608</v>
      </c>
      <c r="G3" s="17">
        <f>Sheet1!G51</f>
        <v>21</v>
      </c>
      <c r="J3" t="s">
        <v>72</v>
      </c>
    </row>
    <row r="4" spans="1:11" x14ac:dyDescent="0.2">
      <c r="A4" s="10">
        <f>Sheet1!A37</f>
        <v>0.10106382978723404</v>
      </c>
      <c r="B4" s="1">
        <f>Sheet1!B37</f>
        <v>1</v>
      </c>
      <c r="C4" s="10">
        <f>Sheet1!C37</f>
        <v>0.10106382978723404</v>
      </c>
      <c r="D4" s="10">
        <f>Sheet1!D37</f>
        <v>0</v>
      </c>
      <c r="E4" s="10" t="str">
        <f>Sheet1!E37</f>
        <v>Kota Jayapura</v>
      </c>
      <c r="F4" s="10" t="str">
        <f>Sheet1!F37</f>
        <v>9471</v>
      </c>
      <c r="G4" s="17">
        <f>Sheet1!G37</f>
        <v>95</v>
      </c>
    </row>
    <row r="5" spans="1:11" x14ac:dyDescent="0.2">
      <c r="A5" s="10">
        <f>Sheet1!A44</f>
        <v>0.13191489361702127</v>
      </c>
      <c r="B5" s="1">
        <f>Sheet1!B44</f>
        <v>1</v>
      </c>
      <c r="C5" s="10">
        <f>Sheet1!C44</f>
        <v>0.13191489361702127</v>
      </c>
      <c r="D5" s="10">
        <f>Sheet1!D44</f>
        <v>0</v>
      </c>
      <c r="E5" s="10" t="str">
        <f>Sheet1!E44</f>
        <v>Mimika</v>
      </c>
      <c r="F5" s="10" t="str">
        <f>Sheet1!F44</f>
        <v>9601</v>
      </c>
      <c r="G5" s="17">
        <f>Sheet1!G44</f>
        <v>124</v>
      </c>
      <c r="J5" s="14" t="s">
        <v>69</v>
      </c>
      <c r="K5" t="s">
        <v>71</v>
      </c>
    </row>
    <row r="6" spans="1:11" x14ac:dyDescent="0.2">
      <c r="A6" s="10">
        <f>Sheet1!A40</f>
        <v>6.1702127659574467E-2</v>
      </c>
      <c r="B6" s="1">
        <f>Sheet1!B40</f>
        <v>1</v>
      </c>
      <c r="C6" s="10">
        <f>Sheet1!C40</f>
        <v>6.1702127659574467E-2</v>
      </c>
      <c r="D6" s="10">
        <f>Sheet1!D40</f>
        <v>0</v>
      </c>
      <c r="E6" s="10" t="str">
        <f>Sheet1!E40</f>
        <v>Boven Digoel</v>
      </c>
      <c r="F6" s="10" t="str">
        <f>Sheet1!F40</f>
        <v>9502</v>
      </c>
      <c r="G6" s="17">
        <f>Sheet1!G40</f>
        <v>58</v>
      </c>
      <c r="J6" s="15" t="s">
        <v>41</v>
      </c>
      <c r="K6" s="16">
        <v>5.7306590257879542E-3</v>
      </c>
    </row>
    <row r="7" spans="1:11" x14ac:dyDescent="0.2">
      <c r="A7" s="10">
        <f>Sheet1!A42</f>
        <v>4.2553191489361701E-2</v>
      </c>
      <c r="B7" s="1">
        <f>Sheet1!B42</f>
        <v>1</v>
      </c>
      <c r="C7" s="10">
        <f>Sheet1!C42</f>
        <v>4.2553191489361701E-2</v>
      </c>
      <c r="D7" s="10">
        <f>Sheet1!D42</f>
        <v>0</v>
      </c>
      <c r="E7" s="10" t="str">
        <f>Sheet1!E42</f>
        <v>Asmat</v>
      </c>
      <c r="F7" s="10" t="str">
        <f>Sheet1!F42</f>
        <v>9504</v>
      </c>
      <c r="G7" s="17">
        <f>Sheet1!G42</f>
        <v>40</v>
      </c>
      <c r="J7" s="15" t="s">
        <v>57</v>
      </c>
      <c r="K7" s="16">
        <v>4.7755491881566383E-3</v>
      </c>
    </row>
    <row r="8" spans="1:11" x14ac:dyDescent="0.2">
      <c r="A8" s="10">
        <f>Sheet1!A35</f>
        <v>3.0851063829787233E-2</v>
      </c>
      <c r="B8" s="1">
        <f>Sheet1!B35</f>
        <v>1</v>
      </c>
      <c r="C8" s="10">
        <f>Sheet1!C35</f>
        <v>3.0851063829787233E-2</v>
      </c>
      <c r="D8" s="10">
        <f>Sheet1!D35</f>
        <v>0</v>
      </c>
      <c r="E8" s="10" t="str">
        <f>Sheet1!E35</f>
        <v>Supiori</v>
      </c>
      <c r="F8" s="10" t="str">
        <f>Sheet1!F35</f>
        <v>9427</v>
      </c>
      <c r="G8" s="17">
        <f>Sheet1!G35</f>
        <v>29</v>
      </c>
      <c r="J8" s="15" t="s">
        <v>49</v>
      </c>
      <c r="K8" s="16">
        <v>2.8653295128939771E-3</v>
      </c>
    </row>
    <row r="9" spans="1:11" x14ac:dyDescent="0.2">
      <c r="A9" s="10">
        <f>Sheet1!A39</f>
        <v>0.21595744680851064</v>
      </c>
      <c r="B9" s="1">
        <f>Sheet1!B39</f>
        <v>0.99507389162561577</v>
      </c>
      <c r="C9" s="10">
        <f>Sheet1!C39</f>
        <v>0.2148936170212766</v>
      </c>
      <c r="D9" s="10">
        <f>Sheet1!D39</f>
        <v>1.0638297872340441E-3</v>
      </c>
      <c r="E9" s="10" t="str">
        <f>Sheet1!E39</f>
        <v>Merauke</v>
      </c>
      <c r="F9" s="10" t="str">
        <f>Sheet1!F39</f>
        <v>9501</v>
      </c>
      <c r="G9" s="17">
        <f>Sheet1!G39</f>
        <v>203</v>
      </c>
      <c r="J9" s="15" t="s">
        <v>48</v>
      </c>
      <c r="K9" s="16">
        <v>1.432664756446992E-3</v>
      </c>
    </row>
    <row r="10" spans="1:11" x14ac:dyDescent="0.2">
      <c r="A10" s="10">
        <f>Sheet1!A30</f>
        <v>4.3617021276595745E-2</v>
      </c>
      <c r="B10" s="1">
        <f>Sheet1!B30</f>
        <v>1</v>
      </c>
      <c r="C10" s="10">
        <f>Sheet1!C30</f>
        <v>4.3617021276595745E-2</v>
      </c>
      <c r="D10" s="10">
        <f>Sheet1!D30</f>
        <v>0</v>
      </c>
      <c r="E10" s="10" t="str">
        <f>Sheet1!E30</f>
        <v>Kepulauan Yapen</v>
      </c>
      <c r="F10" s="10" t="str">
        <f>Sheet1!F30</f>
        <v>9408</v>
      </c>
      <c r="G10" s="17">
        <f>Sheet1!G30</f>
        <v>41</v>
      </c>
      <c r="J10" s="15" t="s">
        <v>43</v>
      </c>
      <c r="K10" s="16">
        <v>4.7755491881566053E-4</v>
      </c>
    </row>
    <row r="11" spans="1:11" x14ac:dyDescent="0.2">
      <c r="A11" s="10">
        <f>Sheet1!A34</f>
        <v>1.0638297872340425E-2</v>
      </c>
      <c r="B11" s="1">
        <f>Sheet1!B34</f>
        <v>1</v>
      </c>
      <c r="C11" s="10">
        <f>Sheet1!C34</f>
        <v>1.0638297872340425E-2</v>
      </c>
      <c r="D11" s="10">
        <f>Sheet1!D34</f>
        <v>0</v>
      </c>
      <c r="E11" s="10" t="str">
        <f>Sheet1!E34</f>
        <v>Waropen</v>
      </c>
      <c r="F11" s="10" t="str">
        <f>Sheet1!F34</f>
        <v>9426</v>
      </c>
      <c r="G11" s="17">
        <f>Sheet1!G34</f>
        <v>10</v>
      </c>
      <c r="J11" s="15" t="s">
        <v>70</v>
      </c>
      <c r="K11" s="16">
        <v>1.5281757402101222E-2</v>
      </c>
    </row>
    <row r="12" spans="1:11" x14ac:dyDescent="0.2">
      <c r="A12" s="10">
        <f>Sheet1!A54</f>
        <v>1.5957446808510637E-2</v>
      </c>
      <c r="B12" s="1">
        <f>Sheet1!B54</f>
        <v>1</v>
      </c>
      <c r="C12" s="10">
        <f>Sheet1!C54</f>
        <v>1.5957446808510637E-2</v>
      </c>
      <c r="D12" s="10">
        <f>Sheet1!D54</f>
        <v>0</v>
      </c>
      <c r="E12" s="10" t="str">
        <f>Sheet1!E54</f>
        <v>Jayawijaya</v>
      </c>
      <c r="F12" s="10" t="str">
        <f>Sheet1!F54</f>
        <v>9702</v>
      </c>
      <c r="G12" s="17">
        <f>Sheet1!G54</f>
        <v>15</v>
      </c>
    </row>
    <row r="13" spans="1:11" x14ac:dyDescent="0.2">
      <c r="A13" s="10">
        <f>Sheet1!A32</f>
        <v>5.3191489361702128E-2</v>
      </c>
      <c r="B13" s="1">
        <f>Sheet1!B32</f>
        <v>1</v>
      </c>
      <c r="C13" s="10">
        <f>Sheet1!C32</f>
        <v>5.3191489361702128E-2</v>
      </c>
      <c r="D13" s="10">
        <f>Sheet1!D32</f>
        <v>0</v>
      </c>
      <c r="E13" s="10" t="str">
        <f>Sheet1!E32</f>
        <v>Sarmi</v>
      </c>
      <c r="F13" s="10" t="str">
        <f>Sheet1!F32</f>
        <v>9419</v>
      </c>
      <c r="G13" s="17">
        <f>Sheet1!G32</f>
        <v>50</v>
      </c>
    </row>
    <row r="14" spans="1:11" x14ac:dyDescent="0.2">
      <c r="A14" s="10">
        <f>Sheet1!A36</f>
        <v>5.3191489361702126E-3</v>
      </c>
      <c r="B14" s="1">
        <f>Sheet1!B36</f>
        <v>1</v>
      </c>
      <c r="C14" s="10">
        <f>Sheet1!C36</f>
        <v>5.3191489361702126E-3</v>
      </c>
      <c r="D14" s="10">
        <f>Sheet1!D36</f>
        <v>0</v>
      </c>
      <c r="E14" s="10" t="str">
        <f>Sheet1!E36</f>
        <v>Mamberamo Raya</v>
      </c>
      <c r="F14" s="10" t="str">
        <f>Sheet1!F36</f>
        <v>9428</v>
      </c>
      <c r="G14" s="17">
        <f>Sheet1!G36</f>
        <v>5</v>
      </c>
    </row>
    <row r="15" spans="1:11" x14ac:dyDescent="0.2">
      <c r="A15" s="10">
        <f>Sheet1!A46</f>
        <v>2.8723404255319149E-2</v>
      </c>
      <c r="B15" s="1">
        <f>Sheet1!B46</f>
        <v>1</v>
      </c>
      <c r="C15" s="10">
        <f>Sheet1!C46</f>
        <v>2.8723404255319149E-2</v>
      </c>
      <c r="D15" s="10">
        <f>Sheet1!D46</f>
        <v>0</v>
      </c>
      <c r="E15" s="10" t="str">
        <f>Sheet1!E46</f>
        <v>Deiyai</v>
      </c>
      <c r="F15" s="10" t="str">
        <f>Sheet1!F46</f>
        <v>9603</v>
      </c>
      <c r="G15" s="17">
        <f>Sheet1!G46</f>
        <v>27</v>
      </c>
    </row>
    <row r="16" spans="1:11" x14ac:dyDescent="0.2">
      <c r="A16" s="10">
        <f>Sheet1!A29</f>
        <v>1.7021276595744681E-2</v>
      </c>
      <c r="B16" s="1">
        <f>Sheet1!B29</f>
        <v>1</v>
      </c>
      <c r="C16" s="10">
        <f>Sheet1!C29</f>
        <v>1.7021276595744681E-2</v>
      </c>
      <c r="D16" s="10">
        <f>Sheet1!D29</f>
        <v>0</v>
      </c>
      <c r="E16" s="10" t="str">
        <f>Sheet1!E29</f>
        <v>Kabupaten Jayapura</v>
      </c>
      <c r="F16" s="10" t="str">
        <f>Sheet1!F29</f>
        <v>9403</v>
      </c>
      <c r="G16" s="17">
        <f>Sheet1!G29</f>
        <v>16</v>
      </c>
    </row>
    <row r="17" spans="1:7" x14ac:dyDescent="0.2">
      <c r="A17" s="10">
        <f>Sheet1!A33</f>
        <v>3.5106382978723406E-2</v>
      </c>
      <c r="B17" s="1">
        <f>Sheet1!B33</f>
        <v>1</v>
      </c>
      <c r="C17" s="10">
        <f>Sheet1!C33</f>
        <v>3.5106382978723406E-2</v>
      </c>
      <c r="D17" s="10">
        <f>Sheet1!D33</f>
        <v>0</v>
      </c>
      <c r="E17" s="10" t="str">
        <f>Sheet1!E33</f>
        <v>Keerom</v>
      </c>
      <c r="F17" s="10" t="str">
        <f>Sheet1!F33</f>
        <v>9420</v>
      </c>
      <c r="G17" s="17">
        <f>Sheet1!G33</f>
        <v>33</v>
      </c>
    </row>
    <row r="18" spans="1:7" x14ac:dyDescent="0.2">
      <c r="A18" s="10">
        <f>Sheet1!A47</f>
        <v>8.191489361702127E-2</v>
      </c>
      <c r="B18" s="1">
        <f>Sheet1!B47</f>
        <v>1</v>
      </c>
      <c r="C18" s="10">
        <f>Sheet1!C47</f>
        <v>8.191489361702127E-2</v>
      </c>
      <c r="D18" s="10">
        <f>Sheet1!D47</f>
        <v>0</v>
      </c>
      <c r="E18" s="10" t="str">
        <f>Sheet1!E47</f>
        <v>Nabire</v>
      </c>
      <c r="F18" s="10" t="str">
        <f>Sheet1!F47</f>
        <v>9604</v>
      </c>
      <c r="G18" s="17">
        <f>Sheet1!G47</f>
        <v>77</v>
      </c>
    </row>
    <row r="19" spans="1:7" x14ac:dyDescent="0.2">
      <c r="A19" s="10">
        <f>Sheet1!A41</f>
        <v>3.9361702127659576E-2</v>
      </c>
      <c r="B19" s="1">
        <f>Sheet1!B41</f>
        <v>1</v>
      </c>
      <c r="C19" s="10">
        <f>Sheet1!C41</f>
        <v>3.9361702127659576E-2</v>
      </c>
      <c r="D19" s="10">
        <f>Sheet1!D41</f>
        <v>0</v>
      </c>
      <c r="E19" s="10" t="str">
        <f>Sheet1!E41</f>
        <v>Mappi</v>
      </c>
      <c r="F19" s="10" t="str">
        <f>Sheet1!F41</f>
        <v>9503</v>
      </c>
      <c r="G19" s="17">
        <f>Sheet1!G41</f>
        <v>37</v>
      </c>
    </row>
    <row r="20" spans="1:7" x14ac:dyDescent="0.2">
      <c r="A20" s="10">
        <f>Sheet1!A31</f>
        <v>2.9787234042553193E-2</v>
      </c>
      <c r="B20" s="1">
        <f>Sheet1!B31</f>
        <v>1</v>
      </c>
      <c r="C20" s="10">
        <f>Sheet1!C31</f>
        <v>2.9787234042553193E-2</v>
      </c>
      <c r="D20" s="10">
        <f>Sheet1!D31</f>
        <v>0</v>
      </c>
      <c r="E20" s="10" t="str">
        <f>Sheet1!E31</f>
        <v>Biak Numfor</v>
      </c>
      <c r="F20" s="10" t="str">
        <f>Sheet1!F31</f>
        <v>9409</v>
      </c>
      <c r="G20" s="17">
        <f>Sheet1!G31</f>
        <v>28</v>
      </c>
    </row>
    <row r="21" spans="1:7" x14ac:dyDescent="0.2">
      <c r="A21" s="10" t="str">
        <f>Sheet1!A38</f>
        <v/>
      </c>
      <c r="B21" s="10" t="str">
        <f>Sheet1!B38</f>
        <v/>
      </c>
      <c r="C21" s="10" t="str">
        <f>Sheet1!C38</f>
        <v/>
      </c>
      <c r="D21" s="10" t="str">
        <f>Sheet1!D38</f>
        <v/>
      </c>
      <c r="E21" s="10">
        <f>Sheet1!E38</f>
        <v>0</v>
      </c>
      <c r="F21" s="10" t="str">
        <f>Sheet1!F38</f>
        <v>9500</v>
      </c>
      <c r="G21" s="17" t="str">
        <f>Sheet1!G38</f>
        <v/>
      </c>
    </row>
    <row r="22" spans="1:7" x14ac:dyDescent="0.2">
      <c r="A22" s="10" t="str">
        <f>Sheet1!A43</f>
        <v/>
      </c>
      <c r="B22" s="10" t="str">
        <f>Sheet1!B43</f>
        <v/>
      </c>
      <c r="C22" s="10" t="str">
        <f>Sheet1!C43</f>
        <v/>
      </c>
      <c r="D22" s="10" t="str">
        <f>Sheet1!D43</f>
        <v/>
      </c>
      <c r="E22" s="10">
        <f>Sheet1!E43</f>
        <v>0</v>
      </c>
      <c r="F22" s="10" t="str">
        <f>Sheet1!F43</f>
        <v>9600</v>
      </c>
      <c r="G22" s="17" t="str">
        <f>Sheet1!G43</f>
        <v/>
      </c>
    </row>
    <row r="23" spans="1:7" x14ac:dyDescent="0.2">
      <c r="A23" s="10" t="str">
        <f>Sheet1!A45</f>
        <v/>
      </c>
      <c r="B23" s="10" t="str">
        <f>Sheet1!B45</f>
        <v/>
      </c>
      <c r="C23" s="10" t="str">
        <f>Sheet1!C45</f>
        <v/>
      </c>
      <c r="D23" s="10" t="str">
        <f>Sheet1!D45</f>
        <v/>
      </c>
      <c r="E23" s="10" t="str">
        <f>Sheet1!E45</f>
        <v>Dogiyai</v>
      </c>
      <c r="F23" s="10" t="str">
        <f>Sheet1!F45</f>
        <v>9602</v>
      </c>
      <c r="G23" s="17" t="str">
        <f>Sheet1!G45</f>
        <v/>
      </c>
    </row>
    <row r="24" spans="1:7" x14ac:dyDescent="0.2">
      <c r="A24" s="10" t="str">
        <f>Sheet1!A48</f>
        <v/>
      </c>
      <c r="B24" s="10" t="str">
        <f>Sheet1!B48</f>
        <v/>
      </c>
      <c r="C24" s="10" t="str">
        <f>Sheet1!C48</f>
        <v/>
      </c>
      <c r="D24" s="10" t="str">
        <f>Sheet1!D48</f>
        <v/>
      </c>
      <c r="E24" s="10" t="str">
        <f>Sheet1!E48</f>
        <v>Paniai</v>
      </c>
      <c r="F24" s="10" t="str">
        <f>Sheet1!F48</f>
        <v>9605</v>
      </c>
      <c r="G24" s="17" t="str">
        <f>Sheet1!G48</f>
        <v/>
      </c>
    </row>
    <row r="25" spans="1:7" x14ac:dyDescent="0.2">
      <c r="A25" s="10" t="str">
        <f>Sheet1!A49</f>
        <v/>
      </c>
      <c r="B25" s="10" t="str">
        <f>Sheet1!B49</f>
        <v/>
      </c>
      <c r="C25" s="10" t="str">
        <f>Sheet1!C49</f>
        <v/>
      </c>
      <c r="D25" s="10" t="str">
        <f>Sheet1!D49</f>
        <v/>
      </c>
      <c r="E25" s="10" t="str">
        <f>Sheet1!E49</f>
        <v>Intan Jaya</v>
      </c>
      <c r="F25" s="10" t="str">
        <f>Sheet1!F49</f>
        <v>9606</v>
      </c>
      <c r="G25" s="17" t="str">
        <f>Sheet1!G49</f>
        <v/>
      </c>
    </row>
    <row r="26" spans="1:7" x14ac:dyDescent="0.2">
      <c r="A26" s="10" t="str">
        <f>Sheet1!A50</f>
        <v/>
      </c>
      <c r="B26" s="10" t="str">
        <f>Sheet1!B50</f>
        <v/>
      </c>
      <c r="C26" s="10" t="str">
        <f>Sheet1!C50</f>
        <v/>
      </c>
      <c r="D26" s="10" t="str">
        <f>Sheet1!D50</f>
        <v/>
      </c>
      <c r="E26" s="10" t="str">
        <f>Sheet1!E50</f>
        <v>Puncak</v>
      </c>
      <c r="F26" s="10" t="str">
        <f>Sheet1!F50</f>
        <v>9607</v>
      </c>
      <c r="G26" s="17" t="str">
        <f>Sheet1!G50</f>
        <v/>
      </c>
    </row>
    <row r="27" spans="1:7" x14ac:dyDescent="0.2">
      <c r="A27" s="10" t="str">
        <f>Sheet1!A52</f>
        <v/>
      </c>
      <c r="B27" s="10" t="str">
        <f>Sheet1!B52</f>
        <v/>
      </c>
      <c r="C27" s="10" t="str">
        <f>Sheet1!C52</f>
        <v/>
      </c>
      <c r="D27" s="10" t="str">
        <f>Sheet1!D52</f>
        <v/>
      </c>
      <c r="E27" s="10">
        <f>Sheet1!E52</f>
        <v>0</v>
      </c>
      <c r="F27" s="10" t="str">
        <f>Sheet1!F52</f>
        <v>9700</v>
      </c>
      <c r="G27" s="17" t="str">
        <f>Sheet1!G52</f>
        <v/>
      </c>
    </row>
    <row r="28" spans="1:7" x14ac:dyDescent="0.2">
      <c r="A28" s="10" t="str">
        <f>Sheet1!A53</f>
        <v/>
      </c>
      <c r="B28" s="10" t="str">
        <f>Sheet1!B53</f>
        <v/>
      </c>
      <c r="C28" s="10" t="str">
        <f>Sheet1!C53</f>
        <v/>
      </c>
      <c r="D28" s="10" t="str">
        <f>Sheet1!D53</f>
        <v/>
      </c>
      <c r="E28" s="10" t="str">
        <f>Sheet1!E53</f>
        <v>Nduga</v>
      </c>
      <c r="F28" s="10" t="str">
        <f>Sheet1!F53</f>
        <v>9701</v>
      </c>
      <c r="G28" s="17" t="str">
        <f>Sheet1!G53</f>
        <v/>
      </c>
    </row>
    <row r="29" spans="1:7" x14ac:dyDescent="0.2">
      <c r="A29" s="10" t="str">
        <f>Sheet1!A55</f>
        <v/>
      </c>
      <c r="B29" s="10" t="str">
        <f>Sheet1!B55</f>
        <v/>
      </c>
      <c r="C29" s="10" t="str">
        <f>Sheet1!C55</f>
        <v/>
      </c>
      <c r="D29" s="10" t="str">
        <f>Sheet1!D55</f>
        <v/>
      </c>
      <c r="E29" s="10" t="str">
        <f>Sheet1!E55</f>
        <v>Lanny Jaya</v>
      </c>
      <c r="F29" s="10" t="str">
        <f>Sheet1!F55</f>
        <v>9703</v>
      </c>
      <c r="G29" s="17" t="str">
        <f>Sheet1!G55</f>
        <v/>
      </c>
    </row>
    <row r="30" spans="1:7" x14ac:dyDescent="0.2">
      <c r="A30" s="10" t="str">
        <f>Sheet1!A57</f>
        <v/>
      </c>
      <c r="B30" s="10" t="str">
        <f>Sheet1!B57</f>
        <v/>
      </c>
      <c r="C30" s="10">
        <f>Sheet1!C57</f>
        <v>0</v>
      </c>
      <c r="D30" s="10" t="str">
        <f>Sheet1!D57</f>
        <v/>
      </c>
      <c r="E30" s="10" t="str">
        <f>Sheet1!E57</f>
        <v>Mamberamo Tengah</v>
      </c>
      <c r="F30" s="10" t="str">
        <f>Sheet1!F57</f>
        <v>9705</v>
      </c>
      <c r="G30" s="17" t="str">
        <f>Sheet1!G57</f>
        <v/>
      </c>
    </row>
    <row r="31" spans="1:7" x14ac:dyDescent="0.2">
      <c r="A31" s="10" t="str">
        <f>Sheet1!A58</f>
        <v/>
      </c>
      <c r="B31" s="10" t="str">
        <f>Sheet1!B58</f>
        <v/>
      </c>
      <c r="C31" s="10">
        <f>Sheet1!C58</f>
        <v>0</v>
      </c>
      <c r="D31" s="10" t="str">
        <f>Sheet1!D58</f>
        <v/>
      </c>
      <c r="E31" s="10" t="str">
        <f>Sheet1!E58</f>
        <v>Yalimo</v>
      </c>
      <c r="F31" s="10" t="str">
        <f>Sheet1!F58</f>
        <v>9706</v>
      </c>
      <c r="G31" s="17" t="str">
        <f>Sheet1!G58</f>
        <v/>
      </c>
    </row>
    <row r="32" spans="1:7" x14ac:dyDescent="0.2">
      <c r="A32" s="10" t="str">
        <f>Sheet1!A59</f>
        <v/>
      </c>
      <c r="B32" s="10" t="str">
        <f>Sheet1!B59</f>
        <v/>
      </c>
      <c r="C32" s="10">
        <f>Sheet1!C59</f>
        <v>0</v>
      </c>
      <c r="D32" s="10" t="str">
        <f>Sheet1!D59</f>
        <v/>
      </c>
      <c r="E32" s="10" t="str">
        <f>Sheet1!E59</f>
        <v>Yahukimo</v>
      </c>
      <c r="F32" s="10" t="str">
        <f>Sheet1!F59</f>
        <v>9707</v>
      </c>
      <c r="G32" s="17" t="str">
        <f>Sheet1!G59</f>
        <v/>
      </c>
    </row>
    <row r="33" spans="1:7" x14ac:dyDescent="0.2">
      <c r="A33" s="10" t="str">
        <f>Sheet1!A60</f>
        <v/>
      </c>
      <c r="B33" s="10" t="str">
        <f>Sheet1!B60</f>
        <v/>
      </c>
      <c r="C33" s="10">
        <f>Sheet1!C60</f>
        <v>0</v>
      </c>
      <c r="D33" s="10" t="str">
        <f>Sheet1!D60</f>
        <v/>
      </c>
      <c r="E33" s="10" t="str">
        <f>Sheet1!E60</f>
        <v>Pegunungan Bintang</v>
      </c>
      <c r="F33" s="10" t="str">
        <f>Sheet1!F60</f>
        <v>9708</v>
      </c>
      <c r="G33" s="17" t="str">
        <f>Sheet1!G60</f>
        <v/>
      </c>
    </row>
    <row r="34" spans="1:7" x14ac:dyDescent="0.2">
      <c r="A34" s="10"/>
      <c r="B34" s="10"/>
      <c r="C34" s="10"/>
      <c r="D34" s="10"/>
      <c r="E34" s="10"/>
      <c r="F34" s="10"/>
      <c r="G34" s="10"/>
    </row>
    <row r="35" spans="1:7" x14ac:dyDescent="0.2">
      <c r="A35" s="10"/>
      <c r="B35" s="10"/>
      <c r="C35" s="10"/>
      <c r="D35" s="10"/>
      <c r="E35" s="10"/>
      <c r="F35" s="10"/>
      <c r="G35" s="10"/>
    </row>
    <row r="36" spans="1:7" x14ac:dyDescent="0.2">
      <c r="A36" s="10"/>
      <c r="B36" s="10"/>
      <c r="C36" s="10"/>
      <c r="D36" s="10"/>
      <c r="E36" s="10"/>
      <c r="F36" s="10"/>
      <c r="G36" s="10"/>
    </row>
    <row r="37" spans="1:7" x14ac:dyDescent="0.2">
      <c r="A37" s="10"/>
      <c r="B37" s="10"/>
      <c r="C37" s="10"/>
      <c r="D37" s="10"/>
      <c r="E37" s="10"/>
      <c r="F37" s="10"/>
      <c r="G37" s="10"/>
    </row>
    <row r="38" spans="1:7" x14ac:dyDescent="0.2">
      <c r="A38" s="10"/>
      <c r="B38" s="10"/>
      <c r="C38" s="10"/>
      <c r="D38" s="10"/>
      <c r="E38" s="10"/>
      <c r="F38" s="10"/>
      <c r="G38" s="10"/>
    </row>
    <row r="39" spans="1:7" x14ac:dyDescent="0.2">
      <c r="A39" s="10"/>
      <c r="B39" s="10"/>
      <c r="C39" s="10"/>
      <c r="D39" s="10"/>
      <c r="E39" s="10"/>
      <c r="F39" s="10"/>
      <c r="G39" s="10"/>
    </row>
  </sheetData>
  <conditionalFormatting sqref="B2:B3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{BEECA316-0C29-CA43-B77E-CDF13DB58DAA}</x14:id>
        </ext>
      </extLst>
    </cfRule>
  </conditionalFormatting>
  <conditionalFormatting sqref="D2:D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{3B385C68-F918-2C40-B932-BE387E14DA0F}</x14:id>
        </ext>
      </extLst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ECA316-0C29-CA43-B77E-CDF13DB58D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B2:B33</xm:sqref>
        </x14:conditionalFormatting>
        <x14:conditionalFormatting xmlns:xm="http://schemas.microsoft.com/office/excel/2006/main">
          <x14:cfRule type="dataBar" id="{3B385C68-F918-2C40-B932-BE387E14DA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90E7-5E42-5F41-BF45-CFF23E8903BC}">
  <dimension ref="A1:B29"/>
  <sheetViews>
    <sheetView workbookViewId="0">
      <selection activeCell="D51" sqref="D51"/>
    </sheetView>
  </sheetViews>
  <sheetFormatPr baseColWidth="10" defaultColWidth="11.5" defaultRowHeight="15" x14ac:dyDescent="0.2"/>
  <sheetData>
    <row r="1" spans="1:2" x14ac:dyDescent="0.2">
      <c r="A1" s="11">
        <v>9403</v>
      </c>
      <c r="B1" s="11" t="s">
        <v>33</v>
      </c>
    </row>
    <row r="2" spans="1:2" x14ac:dyDescent="0.2">
      <c r="A2" s="11">
        <v>9408</v>
      </c>
      <c r="B2" s="11" t="s">
        <v>34</v>
      </c>
    </row>
    <row r="3" spans="1:2" x14ac:dyDescent="0.2">
      <c r="A3" s="11">
        <v>9409</v>
      </c>
      <c r="B3" s="11" t="s">
        <v>35</v>
      </c>
    </row>
    <row r="4" spans="1:2" x14ac:dyDescent="0.2">
      <c r="A4" s="11">
        <v>9419</v>
      </c>
      <c r="B4" s="11" t="s">
        <v>36</v>
      </c>
    </row>
    <row r="5" spans="1:2" x14ac:dyDescent="0.2">
      <c r="A5" s="11">
        <v>9420</v>
      </c>
      <c r="B5" s="11" t="s">
        <v>37</v>
      </c>
    </row>
    <row r="6" spans="1:2" x14ac:dyDescent="0.2">
      <c r="A6" s="11">
        <v>9426</v>
      </c>
      <c r="B6" s="11" t="s">
        <v>38</v>
      </c>
    </row>
    <row r="7" spans="1:2" x14ac:dyDescent="0.2">
      <c r="A7" s="11">
        <v>9427</v>
      </c>
      <c r="B7" s="11" t="s">
        <v>39</v>
      </c>
    </row>
    <row r="8" spans="1:2" x14ac:dyDescent="0.2">
      <c r="A8" s="11">
        <v>9428</v>
      </c>
      <c r="B8" s="11" t="s">
        <v>40</v>
      </c>
    </row>
    <row r="9" spans="1:2" x14ac:dyDescent="0.2">
      <c r="A9" s="11">
        <v>9471</v>
      </c>
      <c r="B9" s="11" t="s">
        <v>41</v>
      </c>
    </row>
    <row r="10" spans="1:2" x14ac:dyDescent="0.2">
      <c r="A10" s="11">
        <v>9501</v>
      </c>
      <c r="B10" s="11" t="s">
        <v>42</v>
      </c>
    </row>
    <row r="11" spans="1:2" x14ac:dyDescent="0.2">
      <c r="A11" s="11">
        <v>9502</v>
      </c>
      <c r="B11" s="11" t="s">
        <v>43</v>
      </c>
    </row>
    <row r="12" spans="1:2" x14ac:dyDescent="0.2">
      <c r="A12" s="11">
        <v>9503</v>
      </c>
      <c r="B12" s="11" t="s">
        <v>44</v>
      </c>
    </row>
    <row r="13" spans="1:2" x14ac:dyDescent="0.2">
      <c r="A13" s="11">
        <v>9504</v>
      </c>
      <c r="B13" s="11" t="s">
        <v>45</v>
      </c>
    </row>
    <row r="14" spans="1:2" x14ac:dyDescent="0.2">
      <c r="A14" s="11">
        <v>9604</v>
      </c>
      <c r="B14" s="11" t="s">
        <v>46</v>
      </c>
    </row>
    <row r="15" spans="1:2" x14ac:dyDescent="0.2">
      <c r="A15" s="11">
        <v>9605</v>
      </c>
      <c r="B15" s="11" t="s">
        <v>47</v>
      </c>
    </row>
    <row r="16" spans="1:2" x14ac:dyDescent="0.2">
      <c r="A16" s="11">
        <v>9608</v>
      </c>
      <c r="B16" s="11" t="s">
        <v>48</v>
      </c>
    </row>
    <row r="17" spans="1:2" x14ac:dyDescent="0.2">
      <c r="A17" s="11">
        <v>9601</v>
      </c>
      <c r="B17" s="11" t="s">
        <v>49</v>
      </c>
    </row>
    <row r="18" spans="1:2" x14ac:dyDescent="0.2">
      <c r="A18" s="11">
        <v>9607</v>
      </c>
      <c r="B18" s="11" t="s">
        <v>50</v>
      </c>
    </row>
    <row r="19" spans="1:2" x14ac:dyDescent="0.2">
      <c r="A19" s="11">
        <v>9602</v>
      </c>
      <c r="B19" s="11" t="s">
        <v>51</v>
      </c>
    </row>
    <row r="20" spans="1:2" x14ac:dyDescent="0.2">
      <c r="A20" s="11">
        <v>9606</v>
      </c>
      <c r="B20" s="11" t="s">
        <v>52</v>
      </c>
    </row>
    <row r="21" spans="1:2" x14ac:dyDescent="0.2">
      <c r="A21" s="11">
        <v>9603</v>
      </c>
      <c r="B21" s="11" t="s">
        <v>53</v>
      </c>
    </row>
    <row r="22" spans="1:2" x14ac:dyDescent="0.2">
      <c r="A22" s="11">
        <v>9702</v>
      </c>
      <c r="B22" s="11" t="s">
        <v>54</v>
      </c>
    </row>
    <row r="23" spans="1:2" x14ac:dyDescent="0.2">
      <c r="A23" s="11">
        <v>9707</v>
      </c>
      <c r="B23" s="11" t="s">
        <v>55</v>
      </c>
    </row>
    <row r="24" spans="1:2" x14ac:dyDescent="0.2">
      <c r="A24" s="11">
        <v>9708</v>
      </c>
      <c r="B24" s="11" t="s">
        <v>56</v>
      </c>
    </row>
    <row r="25" spans="1:2" x14ac:dyDescent="0.2">
      <c r="A25" s="11">
        <v>9704</v>
      </c>
      <c r="B25" s="11" t="s">
        <v>57</v>
      </c>
    </row>
    <row r="26" spans="1:2" x14ac:dyDescent="0.2">
      <c r="A26" s="11">
        <v>9701</v>
      </c>
      <c r="B26" s="11" t="s">
        <v>58</v>
      </c>
    </row>
    <row r="27" spans="1:2" x14ac:dyDescent="0.2">
      <c r="A27" s="11">
        <v>9703</v>
      </c>
      <c r="B27" s="11" t="s">
        <v>59</v>
      </c>
    </row>
    <row r="28" spans="1:2" x14ac:dyDescent="0.2">
      <c r="A28" s="11">
        <v>9705</v>
      </c>
      <c r="B28" s="11" t="s">
        <v>60</v>
      </c>
    </row>
    <row r="29" spans="1:2" x14ac:dyDescent="0.2">
      <c r="A29" s="11">
        <v>9706</v>
      </c>
      <c r="B29" s="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imk tahunan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Rony Purba</cp:lastModifiedBy>
  <dcterms:created xsi:type="dcterms:W3CDTF">2025-09-21T22:43:16Z</dcterms:created>
  <dcterms:modified xsi:type="dcterms:W3CDTF">2026-02-23T05:57:35Z</dcterms:modified>
</cp:coreProperties>
</file>